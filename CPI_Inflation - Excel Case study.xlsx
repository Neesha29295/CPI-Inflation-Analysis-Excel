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wisseninfotech0-my.sharepoint.com/personal/neesha_pramod_wisseninfotech_com/Documents/Data Analytics/"/>
    </mc:Choice>
  </mc:AlternateContent>
  <xr:revisionPtr revIDLastSave="1435" documentId="8_{36B51996-328E-4588-BE42-2C088F4EAF4F}" xr6:coauthVersionLast="47" xr6:coauthVersionMax="47" xr10:uidLastSave="{90C8EBDF-14BC-4312-BAFE-33F197593551}"/>
  <bookViews>
    <workbookView xWindow="-110" yWindow="-110" windowWidth="19420" windowHeight="10300" xr2:uid="{AC469C61-D0FC-49B1-808E-8990E421A857}"/>
  </bookViews>
  <sheets>
    <sheet name="Dashboard" sheetId="15" r:id="rId1"/>
    <sheet name="Raw_Data" sheetId="2" r:id="rId2"/>
    <sheet name="Clean_Data" sheetId="9" r:id="rId3"/>
    <sheet name="CPI_Basket" sheetId="4" r:id="rId4"/>
    <sheet name="YOY_Inflation " sheetId="11" r:id="rId5"/>
    <sheet name="Food_Inflation" sheetId="12" r:id="rId6"/>
    <sheet name="COVID_Impact" sheetId="13" r:id="rId7"/>
    <sheet name="Oil_Correlation" sheetId="14" r:id="rId8"/>
  </sheets>
  <definedNames>
    <definedName name="_xlnm._FilterDatabase" localSheetId="2" hidden="1">Clean_Data!$A$1:$AD$373</definedName>
    <definedName name="_xlnm._FilterDatabase" localSheetId="1" hidden="1">Raw_Data!$A$1:$AD$373</definedName>
    <definedName name="_xlchart.v1.0" hidden="1">Food_Inflation!$A$21:$A$32</definedName>
    <definedName name="_xlchart.v1.1" hidden="1">Food_Inflation!$D$20</definedName>
    <definedName name="_xlchart.v1.2" hidden="1">Food_Inflation!$D$21:$D$32</definedName>
    <definedName name="_xlchart.v1.3" hidden="1">Food_Inflation!$A$21:$A$32</definedName>
    <definedName name="_xlchart.v1.4" hidden="1">Food_Inflation!$D$20</definedName>
    <definedName name="_xlchart.v1.5" hidden="1">Food_Inflation!$D$21:$D$32</definedName>
    <definedName name="_xlchart.v1.6" hidden="1">Food_Inflation!$A$21:$A$32</definedName>
    <definedName name="_xlchart.v1.7" hidden="1">Food_Inflation!$D$20</definedName>
    <definedName name="_xlchart.v1.8" hidden="1">Food_Inflation!$D$21:$D$32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1" l="1"/>
  <c r="C6" i="11"/>
  <c r="C7" i="11"/>
  <c r="C4" i="11"/>
  <c r="C10" i="11"/>
  <c r="B5" i="11"/>
  <c r="B6" i="11"/>
  <c r="B7" i="11"/>
  <c r="B4" i="11"/>
  <c r="C9" i="11"/>
  <c r="B42" i="14"/>
  <c r="B41" i="14"/>
  <c r="B40" i="14"/>
  <c r="B39" i="14"/>
  <c r="B38" i="14"/>
  <c r="B37" i="14"/>
  <c r="B36" i="14"/>
  <c r="S32" i="14"/>
  <c r="R32" i="14"/>
  <c r="Q32" i="14"/>
  <c r="P32" i="14"/>
  <c r="O32" i="14"/>
  <c r="N32" i="14"/>
  <c r="O5" i="14"/>
  <c r="P5" i="14"/>
  <c r="Q5" i="14"/>
  <c r="R5" i="14"/>
  <c r="S5" i="14"/>
  <c r="O6" i="14"/>
  <c r="P6" i="14"/>
  <c r="Q6" i="14"/>
  <c r="R6" i="14"/>
  <c r="S6" i="14"/>
  <c r="O7" i="14"/>
  <c r="P7" i="14"/>
  <c r="Q7" i="14"/>
  <c r="R7" i="14"/>
  <c r="S7" i="14"/>
  <c r="O8" i="14"/>
  <c r="P8" i="14"/>
  <c r="Q8" i="14"/>
  <c r="R8" i="14"/>
  <c r="S8" i="14"/>
  <c r="O9" i="14"/>
  <c r="P9" i="14"/>
  <c r="Q9" i="14"/>
  <c r="R9" i="14"/>
  <c r="S9" i="14"/>
  <c r="O10" i="14"/>
  <c r="P10" i="14"/>
  <c r="Q10" i="14"/>
  <c r="R10" i="14"/>
  <c r="S10" i="14"/>
  <c r="O11" i="14"/>
  <c r="P11" i="14"/>
  <c r="Q11" i="14"/>
  <c r="R11" i="14"/>
  <c r="S11" i="14"/>
  <c r="O12" i="14"/>
  <c r="P12" i="14"/>
  <c r="Q12" i="14"/>
  <c r="R12" i="14"/>
  <c r="S12" i="14"/>
  <c r="O13" i="14"/>
  <c r="P13" i="14"/>
  <c r="Q13" i="14"/>
  <c r="R13" i="14"/>
  <c r="S13" i="14"/>
  <c r="O14" i="14"/>
  <c r="P14" i="14"/>
  <c r="Q14" i="14"/>
  <c r="R14" i="14"/>
  <c r="S14" i="14"/>
  <c r="O15" i="14"/>
  <c r="P15" i="14"/>
  <c r="Q15" i="14"/>
  <c r="R15" i="14"/>
  <c r="S15" i="14"/>
  <c r="O16" i="14"/>
  <c r="P16" i="14"/>
  <c r="Q16" i="14"/>
  <c r="R16" i="14"/>
  <c r="S16" i="14"/>
  <c r="O17" i="14"/>
  <c r="P17" i="14"/>
  <c r="Q17" i="14"/>
  <c r="R17" i="14"/>
  <c r="S17" i="14"/>
  <c r="O18" i="14"/>
  <c r="P18" i="14"/>
  <c r="Q18" i="14"/>
  <c r="R18" i="14"/>
  <c r="S18" i="14"/>
  <c r="O19" i="14"/>
  <c r="P19" i="14"/>
  <c r="Q19" i="14"/>
  <c r="R19" i="14"/>
  <c r="S19" i="14"/>
  <c r="O20" i="14"/>
  <c r="P20" i="14"/>
  <c r="Q20" i="14"/>
  <c r="R20" i="14"/>
  <c r="S20" i="14"/>
  <c r="O21" i="14"/>
  <c r="P21" i="14"/>
  <c r="Q21" i="14"/>
  <c r="R21" i="14"/>
  <c r="S21" i="14"/>
  <c r="O22" i="14"/>
  <c r="P22" i="14"/>
  <c r="Q22" i="14"/>
  <c r="R22" i="14"/>
  <c r="S22" i="14"/>
  <c r="O23" i="14"/>
  <c r="P23" i="14"/>
  <c r="Q23" i="14"/>
  <c r="R23" i="14"/>
  <c r="S23" i="14"/>
  <c r="O24" i="14"/>
  <c r="P24" i="14"/>
  <c r="Q24" i="14"/>
  <c r="R24" i="14"/>
  <c r="S24" i="14"/>
  <c r="O25" i="14"/>
  <c r="P25" i="14"/>
  <c r="Q25" i="14"/>
  <c r="R25" i="14"/>
  <c r="S25" i="14"/>
  <c r="O26" i="14"/>
  <c r="P26" i="14"/>
  <c r="Q26" i="14"/>
  <c r="R26" i="14"/>
  <c r="S26" i="14"/>
  <c r="O27" i="14"/>
  <c r="P27" i="14"/>
  <c r="Q27" i="14"/>
  <c r="R27" i="14"/>
  <c r="S27" i="14"/>
  <c r="O28" i="14"/>
  <c r="P28" i="14"/>
  <c r="Q28" i="14"/>
  <c r="R28" i="14"/>
  <c r="S28" i="14"/>
  <c r="O29" i="14"/>
  <c r="P29" i="14"/>
  <c r="Q29" i="14"/>
  <c r="R29" i="14"/>
  <c r="S29" i="14"/>
  <c r="O30" i="14"/>
  <c r="P30" i="14"/>
  <c r="Q30" i="14"/>
  <c r="R30" i="14"/>
  <c r="S30" i="14"/>
  <c r="O31" i="14"/>
  <c r="P31" i="14"/>
  <c r="Q31" i="14"/>
  <c r="R31" i="14"/>
  <c r="S31" i="14"/>
  <c r="S4" i="14"/>
  <c r="Q4" i="14"/>
  <c r="R4" i="14"/>
  <c r="O4" i="14"/>
  <c r="P4" i="14"/>
  <c r="N5" i="14"/>
  <c r="N6" i="14"/>
  <c r="N7" i="14"/>
  <c r="N8" i="14"/>
  <c r="N9" i="14"/>
  <c r="N10" i="14"/>
  <c r="N11" i="14"/>
  <c r="N12" i="14"/>
  <c r="N13" i="14"/>
  <c r="N14" i="14"/>
  <c r="N15" i="14"/>
  <c r="N16" i="14"/>
  <c r="N17" i="14"/>
  <c r="N18" i="14"/>
  <c r="N19" i="14"/>
  <c r="N20" i="14"/>
  <c r="N21" i="14"/>
  <c r="N22" i="14"/>
  <c r="N23" i="14"/>
  <c r="N24" i="14"/>
  <c r="N25" i="14"/>
  <c r="N26" i="14"/>
  <c r="N27" i="14"/>
  <c r="N28" i="14"/>
  <c r="N29" i="14"/>
  <c r="N30" i="14"/>
  <c r="N31" i="14"/>
  <c r="N4" i="14"/>
  <c r="M5" i="14"/>
  <c r="M6" i="14"/>
  <c r="M7" i="14"/>
  <c r="M8" i="14"/>
  <c r="M9" i="14"/>
  <c r="M10" i="14"/>
  <c r="M11" i="14"/>
  <c r="M12" i="14"/>
  <c r="M13" i="14"/>
  <c r="M14" i="14"/>
  <c r="M15" i="14"/>
  <c r="M16" i="14"/>
  <c r="M17" i="14"/>
  <c r="M18" i="14"/>
  <c r="M19" i="14"/>
  <c r="M20" i="14"/>
  <c r="M21" i="14"/>
  <c r="M22" i="14"/>
  <c r="M23" i="14"/>
  <c r="M24" i="14"/>
  <c r="M25" i="14"/>
  <c r="M26" i="14"/>
  <c r="M27" i="14"/>
  <c r="M28" i="14"/>
  <c r="M29" i="14"/>
  <c r="M30" i="14"/>
  <c r="M31" i="14"/>
  <c r="M32" i="14"/>
  <c r="M4" i="14"/>
  <c r="L5" i="14"/>
  <c r="L6" i="14"/>
  <c r="L7" i="14"/>
  <c r="L8" i="14"/>
  <c r="L9" i="14"/>
  <c r="L10" i="14"/>
  <c r="L11" i="14"/>
  <c r="L12" i="14"/>
  <c r="L13" i="14"/>
  <c r="L14" i="14"/>
  <c r="L15" i="14"/>
  <c r="L16" i="14"/>
  <c r="L17" i="14"/>
  <c r="L18" i="14"/>
  <c r="L19" i="14"/>
  <c r="L20" i="14"/>
  <c r="L21" i="14"/>
  <c r="L22" i="14"/>
  <c r="L23" i="14"/>
  <c r="L24" i="14"/>
  <c r="L25" i="14"/>
  <c r="L26" i="14"/>
  <c r="L27" i="14"/>
  <c r="L28" i="14"/>
  <c r="L29" i="14"/>
  <c r="L30" i="14"/>
  <c r="L31" i="14"/>
  <c r="L32" i="14"/>
  <c r="L4" i="14"/>
  <c r="K5" i="14"/>
  <c r="K6" i="14"/>
  <c r="K7" i="14"/>
  <c r="K8" i="14"/>
  <c r="K9" i="14"/>
  <c r="K10" i="14"/>
  <c r="K11" i="14"/>
  <c r="K12" i="14"/>
  <c r="K13" i="14"/>
  <c r="K14" i="14"/>
  <c r="K15" i="14"/>
  <c r="K16" i="14"/>
  <c r="K17" i="14"/>
  <c r="K18" i="14"/>
  <c r="K19" i="14"/>
  <c r="K20" i="14"/>
  <c r="K21" i="14"/>
  <c r="K22" i="14"/>
  <c r="K23" i="14"/>
  <c r="K24" i="14"/>
  <c r="K25" i="14"/>
  <c r="K26" i="14"/>
  <c r="K27" i="14"/>
  <c r="K28" i="14"/>
  <c r="K29" i="14"/>
  <c r="K30" i="14"/>
  <c r="K31" i="14"/>
  <c r="K32" i="14"/>
  <c r="K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4" i="14"/>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4" i="14"/>
  <c r="C4" i="13"/>
  <c r="B44" i="13" s="1"/>
  <c r="D4" i="14"/>
  <c r="G5" i="14" s="1"/>
  <c r="D5" i="14"/>
  <c r="D6" i="14"/>
  <c r="D7" i="14"/>
  <c r="D8" i="14"/>
  <c r="D9" i="14"/>
  <c r="D10" i="14"/>
  <c r="G10" i="14" s="1"/>
  <c r="D11" i="14"/>
  <c r="G11" i="14" s="1"/>
  <c r="D12" i="14"/>
  <c r="G12" i="14" s="1"/>
  <c r="D13" i="14"/>
  <c r="G13" i="14" s="1"/>
  <c r="D14" i="14"/>
  <c r="G14" i="14" s="1"/>
  <c r="D15" i="14"/>
  <c r="G15" i="14" s="1"/>
  <c r="D16" i="14"/>
  <c r="G16" i="14" s="1"/>
  <c r="D17" i="14"/>
  <c r="G17" i="14" s="1"/>
  <c r="D18" i="14"/>
  <c r="G18" i="14" s="1"/>
  <c r="D19" i="14"/>
  <c r="G19" i="14" s="1"/>
  <c r="D20" i="14"/>
  <c r="G20" i="14" s="1"/>
  <c r="D21" i="14"/>
  <c r="G21" i="14" s="1"/>
  <c r="D22" i="14"/>
  <c r="G22" i="14" s="1"/>
  <c r="D23" i="14"/>
  <c r="G23" i="14" s="1"/>
  <c r="D24" i="14"/>
  <c r="G24" i="14" s="1"/>
  <c r="D25" i="14"/>
  <c r="G25" i="14" s="1"/>
  <c r="D26" i="14"/>
  <c r="G26" i="14" s="1"/>
  <c r="D27" i="14"/>
  <c r="G27" i="14" s="1"/>
  <c r="D28" i="14"/>
  <c r="G28" i="14" s="1"/>
  <c r="D29" i="14"/>
  <c r="G29" i="14" s="1"/>
  <c r="D30" i="14"/>
  <c r="G30" i="14" s="1"/>
  <c r="D31" i="14"/>
  <c r="G31" i="14" s="1"/>
  <c r="D32" i="14"/>
  <c r="G32" i="14" s="1"/>
  <c r="G6" i="14"/>
  <c r="G7"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5" i="14"/>
  <c r="E45" i="13"/>
  <c r="E44" i="13"/>
  <c r="D45" i="13"/>
  <c r="D44" i="13"/>
  <c r="C45" i="13"/>
  <c r="C44" i="13"/>
  <c r="B45" i="13"/>
  <c r="J6"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5" i="13"/>
  <c r="F17" i="13"/>
  <c r="F29"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4" i="13"/>
  <c r="E5" i="13"/>
  <c r="F5" i="13" s="1"/>
  <c r="E6" i="13"/>
  <c r="F6" i="13" s="1"/>
  <c r="E7" i="13"/>
  <c r="F7" i="13" s="1"/>
  <c r="E8" i="13"/>
  <c r="F8" i="13" s="1"/>
  <c r="E9" i="13"/>
  <c r="F9" i="13" s="1"/>
  <c r="E10" i="13"/>
  <c r="F10" i="13" s="1"/>
  <c r="E11" i="13"/>
  <c r="F11" i="13" s="1"/>
  <c r="E12" i="13"/>
  <c r="F12" i="13" s="1"/>
  <c r="E13" i="13"/>
  <c r="F13" i="13" s="1"/>
  <c r="E14" i="13"/>
  <c r="F14" i="13" s="1"/>
  <c r="E15" i="13"/>
  <c r="F15" i="13" s="1"/>
  <c r="E16" i="13"/>
  <c r="F16" i="13" s="1"/>
  <c r="E17" i="13"/>
  <c r="E18" i="13"/>
  <c r="F18" i="13" s="1"/>
  <c r="E19" i="13"/>
  <c r="F19" i="13" s="1"/>
  <c r="E20" i="13"/>
  <c r="F20" i="13" s="1"/>
  <c r="E21" i="13"/>
  <c r="F21" i="13" s="1"/>
  <c r="E22" i="13"/>
  <c r="F22" i="13" s="1"/>
  <c r="E23" i="13"/>
  <c r="F23" i="13" s="1"/>
  <c r="E24" i="13"/>
  <c r="F24" i="13" s="1"/>
  <c r="E25" i="13"/>
  <c r="F25" i="13" s="1"/>
  <c r="E26" i="13"/>
  <c r="F26" i="13" s="1"/>
  <c r="E27" i="13"/>
  <c r="F27" i="13" s="1"/>
  <c r="E28" i="13"/>
  <c r="F28" i="13" s="1"/>
  <c r="E29" i="13"/>
  <c r="E30" i="13"/>
  <c r="F30" i="13" s="1"/>
  <c r="E31" i="13"/>
  <c r="F31" i="13" s="1"/>
  <c r="E32" i="13"/>
  <c r="F32" i="13" s="1"/>
  <c r="E33" i="13"/>
  <c r="F33" i="13" s="1"/>
  <c r="E34" i="13"/>
  <c r="F34" i="13" s="1"/>
  <c r="E35" i="13"/>
  <c r="F35" i="13" s="1"/>
  <c r="E36" i="13"/>
  <c r="F36" i="13" s="1"/>
  <c r="E37" i="13"/>
  <c r="F37" i="13" s="1"/>
  <c r="E38" i="13"/>
  <c r="F38" i="13" s="1"/>
  <c r="E4" i="13"/>
  <c r="C5" i="13"/>
  <c r="C6" i="13"/>
  <c r="C7" i="13"/>
  <c r="D7" i="13" s="1"/>
  <c r="C8" i="13"/>
  <c r="C9" i="13"/>
  <c r="C10" i="13"/>
  <c r="C11" i="13"/>
  <c r="C12" i="13"/>
  <c r="C13" i="13"/>
  <c r="C14" i="13"/>
  <c r="D14" i="13" s="1"/>
  <c r="C15" i="13"/>
  <c r="C16" i="13"/>
  <c r="D16" i="13" s="1"/>
  <c r="C17" i="13"/>
  <c r="C18" i="13"/>
  <c r="C19" i="13"/>
  <c r="D19" i="13" s="1"/>
  <c r="C20" i="13"/>
  <c r="C21" i="13"/>
  <c r="C22" i="13"/>
  <c r="C23" i="13"/>
  <c r="C24" i="13"/>
  <c r="C25" i="13"/>
  <c r="C26" i="13"/>
  <c r="D26" i="13" s="1"/>
  <c r="C27" i="13"/>
  <c r="C28" i="13"/>
  <c r="D28" i="13" s="1"/>
  <c r="C29" i="13"/>
  <c r="C30" i="13"/>
  <c r="C31" i="13"/>
  <c r="D31" i="13" s="1"/>
  <c r="C32" i="13"/>
  <c r="C33" i="13"/>
  <c r="C34" i="13"/>
  <c r="C35" i="13"/>
  <c r="C36" i="13"/>
  <c r="C37" i="13"/>
  <c r="C38" i="13"/>
  <c r="B5" i="4"/>
  <c r="D264" i="9"/>
  <c r="D265" i="9"/>
  <c r="T262" i="9"/>
  <c r="T265" i="9" s="1"/>
  <c r="S262" i="9"/>
  <c r="S265" i="9" s="1"/>
  <c r="R262" i="9"/>
  <c r="R265" i="9" s="1"/>
  <c r="Q262" i="9"/>
  <c r="Q265" i="9" s="1"/>
  <c r="P262" i="9"/>
  <c r="P265" i="9" s="1"/>
  <c r="O262" i="9"/>
  <c r="O265" i="9" s="1"/>
  <c r="P261" i="9"/>
  <c r="Q261" i="9"/>
  <c r="R261" i="9"/>
  <c r="S261" i="9"/>
  <c r="T261" i="9"/>
  <c r="O261" i="9"/>
  <c r="G265" i="9"/>
  <c r="H265" i="9"/>
  <c r="I265" i="9"/>
  <c r="J265" i="9"/>
  <c r="K265" i="9"/>
  <c r="L265" i="9"/>
  <c r="M265" i="9"/>
  <c r="N265" i="9"/>
  <c r="H264" i="9"/>
  <c r="I264" i="9"/>
  <c r="J264" i="9"/>
  <c r="K264" i="9"/>
  <c r="L264" i="9"/>
  <c r="M264" i="9"/>
  <c r="N264" i="9"/>
  <c r="G264" i="9"/>
  <c r="F265" i="9"/>
  <c r="F264" i="9"/>
  <c r="E262" i="9"/>
  <c r="E265" i="9" s="1"/>
  <c r="E261" i="9"/>
  <c r="C32" i="12"/>
  <c r="C31" i="12"/>
  <c r="C30" i="12"/>
  <c r="C29" i="12"/>
  <c r="C28" i="12"/>
  <c r="C27" i="12"/>
  <c r="C25" i="12"/>
  <c r="C26" i="12"/>
  <c r="C24" i="12"/>
  <c r="C23" i="12"/>
  <c r="C21" i="12"/>
  <c r="B21" i="12"/>
  <c r="B32" i="12"/>
  <c r="B31" i="12"/>
  <c r="B30" i="12"/>
  <c r="B29" i="12"/>
  <c r="B28" i="12"/>
  <c r="B27" i="12"/>
  <c r="B26" i="12"/>
  <c r="B25" i="12"/>
  <c r="B24" i="12"/>
  <c r="B23" i="12"/>
  <c r="B22" i="12"/>
  <c r="C22" i="12"/>
  <c r="B16" i="12" a="1"/>
  <c r="B16" i="12" s="1"/>
  <c r="B15" i="12" a="1"/>
  <c r="B15" i="12" s="1"/>
  <c r="B14" i="12" a="1"/>
  <c r="B14" i="12" s="1"/>
  <c r="B13" i="12" a="1"/>
  <c r="B13" i="12" s="1"/>
  <c r="B12" i="12" a="1"/>
  <c r="B12" i="12" s="1"/>
  <c r="B11" i="12" a="1"/>
  <c r="B11" i="12" s="1"/>
  <c r="B10" i="12" a="1"/>
  <c r="B10" i="12" s="1"/>
  <c r="B8" i="12" a="1"/>
  <c r="B8" i="12" s="1"/>
  <c r="B7" i="12" a="1"/>
  <c r="B7" i="12" s="1"/>
  <c r="B6" i="12" a="1"/>
  <c r="B6" i="12" s="1"/>
  <c r="B5" i="12" a="1"/>
  <c r="B5" i="12" s="1"/>
  <c r="B9" i="12" a="1"/>
  <c r="B9" i="12" s="1"/>
  <c r="C8" i="11"/>
  <c r="B8" i="11"/>
  <c r="B9" i="11"/>
  <c r="B10" i="11"/>
  <c r="B16" i="4"/>
  <c r="B15" i="4"/>
  <c r="B14" i="4"/>
  <c r="B13" i="4"/>
  <c r="B12" i="4"/>
  <c r="B11" i="4"/>
  <c r="B10" i="4"/>
  <c r="B9" i="4"/>
  <c r="B8" i="4"/>
  <c r="B7" i="4"/>
  <c r="B6" i="4"/>
  <c r="D7" i="11" l="1"/>
  <c r="D5" i="11"/>
  <c r="D6" i="11"/>
  <c r="D4" i="11"/>
  <c r="G9" i="14"/>
  <c r="G8" i="14"/>
  <c r="D29" i="13"/>
  <c r="D25" i="13"/>
  <c r="D13" i="13"/>
  <c r="D38" i="13"/>
  <c r="D36" i="13"/>
  <c r="D24" i="13"/>
  <c r="D12" i="13"/>
  <c r="D11" i="13"/>
  <c r="D32" i="13"/>
  <c r="D20" i="13"/>
  <c r="D8" i="13"/>
  <c r="D30" i="13"/>
  <c r="D18" i="13"/>
  <c r="D6" i="13"/>
  <c r="D17" i="13"/>
  <c r="D5" i="13"/>
  <c r="D27" i="13"/>
  <c r="D15" i="13"/>
  <c r="D37" i="13"/>
  <c r="D35" i="13"/>
  <c r="D23" i="13"/>
  <c r="D34" i="13"/>
  <c r="D22" i="13"/>
  <c r="D10" i="13"/>
  <c r="D33" i="13"/>
  <c r="D21" i="13"/>
  <c r="D9" i="13"/>
  <c r="D27" i="12"/>
  <c r="C14" i="12"/>
  <c r="D24" i="12"/>
  <c r="S264" i="9"/>
  <c r="R264" i="9"/>
  <c r="E264" i="9"/>
  <c r="C13" i="12"/>
  <c r="C8" i="12"/>
  <c r="C12" i="12"/>
  <c r="C9" i="12"/>
  <c r="D21" i="12"/>
  <c r="D23" i="12"/>
  <c r="D30" i="12"/>
  <c r="D15" i="12"/>
  <c r="D31" i="12"/>
  <c r="C16" i="12"/>
  <c r="D32" i="12"/>
  <c r="C6" i="12"/>
  <c r="C7" i="12"/>
  <c r="D25" i="12"/>
  <c r="D26" i="12"/>
  <c r="C10" i="12"/>
  <c r="D10" i="11"/>
  <c r="D9" i="11"/>
  <c r="D8" i="11"/>
  <c r="C11" i="12"/>
  <c r="D28" i="12"/>
  <c r="D29" i="12"/>
  <c r="C15" i="12"/>
  <c r="D14" i="12"/>
  <c r="D13" i="12"/>
  <c r="D12" i="12"/>
  <c r="D11" i="12"/>
  <c r="D10" i="12"/>
  <c r="D9" i="12"/>
  <c r="D8" i="12"/>
  <c r="D7" i="12"/>
  <c r="D6" i="12"/>
  <c r="D22" i="12"/>
  <c r="D16" i="12"/>
  <c r="O264" i="9"/>
  <c r="T264" i="9"/>
  <c r="P264" i="9"/>
  <c r="Q264" i="9"/>
  <c r="C8" i="4"/>
  <c r="C12" i="4"/>
  <c r="C13" i="4"/>
  <c r="C6" i="4"/>
  <c r="C14" i="4"/>
  <c r="C9" i="4"/>
  <c r="C11" i="4"/>
  <c r="C15" i="4"/>
  <c r="C7" i="4"/>
  <c r="C10" i="4"/>
  <c r="C16" i="4"/>
  <c r="C5" i="4"/>
  <c r="C17"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333561-5B57-47B5-9EAB-B4FCBBAC91D1}"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 id="2" xr16:uid="{39DA3ACB-4306-4049-9044-C39B7B1610AD}"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3" xr16:uid="{601B4CDD-A0FA-4F1C-AC5B-66404EDAD4A5}" keepAlive="1" name="Query - Table4 (2)" description="Connection to the 'Table4 (2)' query in the workbook." type="5" refreshedVersion="8" background="1" saveData="1">
    <dbPr connection="Provider=Microsoft.Mashup.OleDb.1;Data Source=$Workbook$;Location=&quot;Table4 (2)&quot;;Extended Properties=&quot;&quot;" command="SELECT * FROM [Table4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<sst xmlns="http://schemas.openxmlformats.org/spreadsheetml/2006/main" count="2238" uniqueCount="232">
  <si>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</si>
  <si>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</si>
  <si>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</si>
  <si>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</si>
  <si>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</si>
  <si>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</si>
  <si>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</si>
  <si>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</si>
  <si>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</si>
  <si>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</si>
  <si>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</si>
  <si>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</si>
  <si>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</si>
  <si>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</si>
  <si>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</si>
  <si>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</si>
  <si>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</si>
  <si>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</si>
  <si>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</si>
  <si>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</si>
  <si>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</si>
  <si>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</si>
  <si>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</si>
  <si>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</si>
  <si>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</si>
  <si>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</si>
  <si>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</si>
  <si>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</si>
  <si>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</si>
  <si>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</si>
  <si>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</si>
  <si>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</si>
  <si>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</si>
  <si>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</si>
  <si>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</si>
  <si>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</si>
  <si>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</si>
  <si>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</si>
  <si>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</si>
  <si>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</si>
  <si>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</si>
  <si>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</si>
  <si>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</si>
  <si>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</si>
  <si>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</si>
  <si>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</si>
  <si>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</si>
  <si>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</si>
  <si>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</si>
  <si>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Food</t>
  </si>
  <si>
    <t>Energy</t>
  </si>
  <si>
    <t>Healthcare</t>
  </si>
  <si>
    <t>Recreation</t>
  </si>
  <si>
    <t>Non  alcoholic beverages</t>
  </si>
  <si>
    <t xml:space="preserve">  </t>
  </si>
  <si>
    <t>Broader Category</t>
  </si>
  <si>
    <t>Avg Index</t>
  </si>
  <si>
    <t>Contribution %</t>
  </si>
  <si>
    <t>Clothing &amp; Footwear</t>
  </si>
  <si>
    <t>Transport &amp; Communication</t>
  </si>
  <si>
    <t>Personal Care</t>
  </si>
  <si>
    <t>Household Goods</t>
  </si>
  <si>
    <t>Tobacco &amp; Intoxicants</t>
  </si>
  <si>
    <t>TOTAL</t>
  </si>
  <si>
    <t>Q1 — CPI Basket Contribution by Broader Category (May 2023, Rural+Urban)</t>
  </si>
  <si>
    <r>
      <rPr>
        <b/>
        <sz val="11"/>
        <color theme="1"/>
        <rFont val="Aptos Narrow"/>
        <family val="2"/>
        <scheme val="minor"/>
      </rPr>
      <t>Q1 insights</t>
    </r>
    <r>
      <rPr>
        <sz val="11"/>
        <color theme="1"/>
        <rFont val="Aptos Narrow"/>
        <family val="2"/>
        <scheme val="minor"/>
      </rPr>
      <t xml:space="preserve">
Tobacco &amp; Intoxicants has the highest contribution (~9.3%) because its index value has risen the most since the base year — meaning prices in this category have inflated the most overall.
Food comes in around 8.2% despite being the largest spending category — this is because equal weights are assumed across all categories per the problem statement.
All 12 bucket contributions sum to exactly 100%</t>
    </r>
  </si>
  <si>
    <t>Sub categories</t>
  </si>
  <si>
    <t>Cereals and products, Meat and fish, Egg, Milk and products, Oils and fats, Fruits, Vegetables, Pulses and products, Sugar and Confectionery, Spices, Non-alcoholic beverages, Prepared meals, snacks, sweets etc., Food and beverages</t>
  </si>
  <si>
    <t>Clothing, Footwear, Clothing and footwear</t>
  </si>
  <si>
    <t>Q2 — Year-on-Year CPI Inflation Rate (Rural+Urban, General Index), 2017–2023</t>
  </si>
  <si>
    <t>YoY Rate</t>
  </si>
  <si>
    <t>Key Driver</t>
  </si>
  <si>
    <t>Post-demonetisation recovery; food prices normalizing</t>
  </si>
  <si>
    <t>Low food inflation; stable global commodity prices</t>
  </si>
  <si>
    <t>Onion price surge 300%+; crop failure due to unseasonal rains</t>
  </si>
  <si>
    <t>COVID lockdown supply disruptions; food price spike</t>
  </si>
  <si>
    <t>Post-lockdown demand rebound; global supply chain stress</t>
  </si>
  <si>
    <t>Russia-Ukraine war; global energy &amp; food commodity spike</t>
  </si>
  <si>
    <t>Partial data (Jan–May); food prices easing; base effects</t>
  </si>
  <si>
    <t>Q3 — Food Inflation Analysis: 12 Months Ending May 2023 (Rural+Urban)</t>
  </si>
  <si>
    <t>Part A — Month-on-Month Food Index &amp; Inflation</t>
  </si>
  <si>
    <t>Period</t>
  </si>
  <si>
    <t>Food Avg Index</t>
  </si>
  <si>
    <t>MoM Change</t>
  </si>
  <si>
    <t>MoM % Change</t>
  </si>
  <si>
    <t>Highlight</t>
  </si>
  <si>
    <t>2022 June</t>
  </si>
  <si>
    <t>2022 July</t>
  </si>
  <si>
    <t>2022 August</t>
  </si>
  <si>
    <t>2022 September</t>
  </si>
  <si>
    <t>2022 October</t>
  </si>
  <si>
    <t>2022 November</t>
  </si>
  <si>
    <t>2022 December</t>
  </si>
  <si>
    <t>2023 January</t>
  </si>
  <si>
    <t>2023 February</t>
  </si>
  <si>
    <t>2023 March</t>
  </si>
  <si>
    <t>2023 April</t>
  </si>
  <si>
    <t>2023 May</t>
  </si>
  <si>
    <t>Highest Inflation</t>
  </si>
  <si>
    <t>Lowest Inflation</t>
  </si>
  <si>
    <t>Part B — Absolute Change in Individual Food Categories (Jun 2022 → May 2023)</t>
  </si>
  <si>
    <t>Food Sub-Category</t>
  </si>
  <si>
    <t>Jun 2022 Index</t>
  </si>
  <si>
    <t>May 2023 Index</t>
  </si>
  <si>
    <t>Absolute Change</t>
  </si>
  <si>
    <t>Direction</t>
  </si>
  <si>
    <t>▲ Inflation</t>
  </si>
  <si>
    <t>▼ Deflation</t>
  </si>
  <si>
    <r>
      <t>Highest food inflation month:</t>
    </r>
    <r>
      <rPr>
        <sz val="11"/>
        <color theme="1"/>
        <rFont val="Aptos Narrow"/>
        <family val="2"/>
        <scheme val="minor"/>
      </rPr>
      <t xml:space="preserve"> October 2022 (+0.72% MoM) — festive season demand (Navratri, Diwali) pushed vegetables and spices prices up sharply.</t>
    </r>
  </si>
  <si>
    <r>
      <t>Lowest food inflation month:</t>
    </r>
    <r>
      <rPr>
        <sz val="11"/>
        <color theme="1"/>
        <rFont val="Aptos Narrow"/>
        <family val="2"/>
        <scheme val="minor"/>
      </rPr>
      <t xml:space="preserve"> February 2023 (−0.59% MoM) — post-harvest season flooded markets with fresh supply, cooling prices.</t>
    </r>
  </si>
  <si>
    <r>
      <t>Biggest inflationary sub-category:</t>
    </r>
    <r>
      <rPr>
        <sz val="11"/>
        <color theme="1"/>
        <rFont val="Aptos Narrow"/>
        <family val="2"/>
        <scheme val="minor"/>
      </rPr>
      <t xml:space="preserve"> Spices (+30.9 index points) — erratic monsoon and global supply disruptions drove sustained price increases.</t>
    </r>
  </si>
  <si>
    <r>
      <t>Biggest deflationary sub-category:</t>
    </r>
    <r>
      <rPr>
        <sz val="11"/>
        <color theme="1"/>
        <rFont val="Aptos Narrow"/>
        <family val="2"/>
        <scheme val="minor"/>
      </rPr>
      <t xml:space="preserve"> Oils &amp; Fats (−30.9 points) — global edible oil prices crashed after the 2022 Ukraine war commodity spike cooled. India imports ~60% of edible oils so benefited directly.</t>
    </r>
  </si>
  <si>
    <t>Q3 Insights</t>
  </si>
  <si>
    <t>Q4 — COVID-19 Impact on CPI Inflation (Rural+Urban, 2019–2021)</t>
  </si>
  <si>
    <t>General Index</t>
  </si>
  <si>
    <t>MoM% General</t>
  </si>
  <si>
    <t>Health Index</t>
  </si>
  <si>
    <t>Food &amp; Bev Index</t>
  </si>
  <si>
    <t>Fuel &amp; Light</t>
  </si>
  <si>
    <t>2019 January</t>
  </si>
  <si>
    <t>2019 February</t>
  </si>
  <si>
    <t>2019 March</t>
  </si>
  <si>
    <t>2019 May</t>
  </si>
  <si>
    <t>2019 June</t>
  </si>
  <si>
    <t>2019 July</t>
  </si>
  <si>
    <t>2019 August</t>
  </si>
  <si>
    <t>2019 September</t>
  </si>
  <si>
    <t>2019 October</t>
  </si>
  <si>
    <t>2019 November</t>
  </si>
  <si>
    <t>2019 December</t>
  </si>
  <si>
    <t>2020 January</t>
  </si>
  <si>
    <t>2020 February</t>
  </si>
  <si>
    <t>2020 April</t>
  </si>
  <si>
    <t>2020 May</t>
  </si>
  <si>
    <t>2020 June</t>
  </si>
  <si>
    <t>2020 July</t>
  </si>
  <si>
    <t>2020 August</t>
  </si>
  <si>
    <t>2020 September</t>
  </si>
  <si>
    <t>2020 October</t>
  </si>
  <si>
    <t>2020 November</t>
  </si>
  <si>
    <t>2020 December</t>
  </si>
  <si>
    <t>2021 January</t>
  </si>
  <si>
    <t>2021 February</t>
  </si>
  <si>
    <t>2021 March</t>
  </si>
  <si>
    <t>2021 April</t>
  </si>
  <si>
    <t>2021 May</t>
  </si>
  <si>
    <t>2021 June</t>
  </si>
  <si>
    <t>2021 July</t>
  </si>
  <si>
    <t>2021 August</t>
  </si>
  <si>
    <t>2021 September</t>
  </si>
  <si>
    <t>2021 October</t>
  </si>
  <si>
    <t>2021 November</t>
  </si>
  <si>
    <t>2021 December</t>
  </si>
  <si>
    <t>2020 March</t>
  </si>
  <si>
    <t>Health MoM%</t>
  </si>
  <si>
    <t>Food Mom%</t>
  </si>
  <si>
    <t>Fuel MoM%</t>
  </si>
  <si>
    <t xml:space="preserve">Pre Vs Post Summary Table </t>
  </si>
  <si>
    <t>Avg General Index</t>
  </si>
  <si>
    <t>Avg Health</t>
  </si>
  <si>
    <t>Avg Food</t>
  </si>
  <si>
    <t>Avg Fuel</t>
  </si>
  <si>
    <t>Pre-COVID (Jan 2019 – Feb 2020)</t>
  </si>
  <si>
    <t>Post-COVID (Mar 2020 – Dec 2021)</t>
  </si>
  <si>
    <r>
      <t>Overall inflation rose +9.4%</t>
    </r>
    <r>
      <rPr>
        <sz val="11"/>
        <color theme="1"/>
        <rFont val="Aptos Narrow"/>
        <family val="2"/>
        <scheme val="minor"/>
      </rPr>
      <t xml:space="preserve"> — Pre-COVID avg General Index ~145.0 vs Post-COVID ~158.6. The pandemic clearly pushed prices up across all categories.</t>
    </r>
  </si>
  <si>
    <r>
      <t>Healthcare accelerated the most</t>
    </r>
    <r>
      <rPr>
        <sz val="11"/>
        <color theme="1"/>
        <rFont val="Aptos Narrow"/>
        <family val="2"/>
        <scheme val="minor"/>
      </rPr>
      <t xml:space="preserve"> post-March 2020 — demand for medicines, hospital services, PPE and oxygen surged. Health CPI stayed elevated consistently through all of 2020 and 2021.</t>
    </r>
  </si>
  <si>
    <r>
      <t>Food showed a paradox</t>
    </r>
    <r>
      <rPr>
        <sz val="11"/>
        <color theme="1"/>
        <rFont val="Aptos Narrow"/>
        <family val="2"/>
        <scheme val="minor"/>
      </rPr>
      <t xml:space="preserve"> — prices briefly fell during the strictest lockdown months as demand collapsed and supply couldn't move. Then rebounded sharply in late 2020 as supply chains reopened unevenly under pent-up demand.</t>
    </r>
  </si>
  <si>
    <r>
      <t>Fuel crashed in April 2020</t>
    </r>
    <r>
      <rPr>
        <sz val="11"/>
        <color theme="1"/>
        <rFont val="Aptos Narrow"/>
        <family val="2"/>
        <scheme val="minor"/>
      </rPr>
      <t xml:space="preserve"> — global oil prices collapsed (Brent crude briefly went negative in April 2020). India's Fuel &amp; Light CPI dropped sharply then slowly recovered through 2021 as economic activity resumed.</t>
    </r>
  </si>
  <si>
    <t>Q4 Insights :</t>
  </si>
  <si>
    <t>Q5 — Imported Oil Price Fluctuations vs CPI Categories (2021–2023, Rural+Urban)</t>
  </si>
  <si>
    <t>Brent Oil ($/bbl)</t>
  </si>
  <si>
    <t>Oil MoM%</t>
  </si>
  <si>
    <t>Gen Index MoM%</t>
  </si>
  <si>
    <t>2022 January</t>
  </si>
  <si>
    <t>2022 February</t>
  </si>
  <si>
    <t>2022 March</t>
  </si>
  <si>
    <t>2022 April</t>
  </si>
  <si>
    <t>2022 May</t>
  </si>
  <si>
    <t>Part B — CORREL(Oil MoM%, Category MoM%) — Ranked by Correlation</t>
  </si>
  <si>
    <t>CPI Category</t>
  </si>
  <si>
    <t>Correlation with Oil</t>
  </si>
  <si>
    <t>Interpretation</t>
  </si>
  <si>
    <t>Cereals</t>
  </si>
  <si>
    <t>Transport</t>
  </si>
  <si>
    <t>Food and Bev</t>
  </si>
  <si>
    <t xml:space="preserve">Cereals </t>
  </si>
  <si>
    <t>Oil and fats MOM%</t>
  </si>
  <si>
    <t>Fuel and light MOM%</t>
  </si>
  <si>
    <t>Cereal MOM%</t>
  </si>
  <si>
    <t>Food and Bev MOM%</t>
  </si>
  <si>
    <t>Health MOM%</t>
  </si>
  <si>
    <t>Transport MOM%</t>
  </si>
  <si>
    <t>Oils &amp; Fats</t>
  </si>
  <si>
    <t>Food and Beverage</t>
  </si>
  <si>
    <t>Strong</t>
  </si>
  <si>
    <t>Strongest</t>
  </si>
  <si>
    <t>Moderate</t>
  </si>
  <si>
    <t>Very Weak</t>
  </si>
  <si>
    <t>No relationship</t>
  </si>
  <si>
    <t>Negative</t>
  </si>
  <si>
    <r>
      <t>Fuel &amp; Light has the strongest correlation (+0.548) with global Brent crude oil prices during 2021–2023.</t>
    </r>
    <r>
      <rPr>
        <sz val="11"/>
        <color theme="1"/>
        <rFont val="Aptos Narrow"/>
        <family val="2"/>
        <scheme val="minor"/>
      </rPr>
      <t xml:space="preserve"> While India typically regulates domestic fuel prices through subsidies, during this specific period the government allowed multiple fuel price hikes as global oil surged to $120/barrel following the Russia-Ukraine war in 2022. This made domestic fuel prices unusually responsive to global oil movements.</t>
    </r>
  </si>
  <si>
    <r>
      <t>Oils &amp; Fats is second strongest (+0.478).</t>
    </r>
    <r>
      <rPr>
        <sz val="11"/>
        <color theme="1"/>
        <rFont val="Aptos Narrow"/>
        <family val="2"/>
        <scheme val="minor"/>
      </rPr>
      <t xml:space="preserve"> India imports ~60% of its edible oils — palm oil from Malaysia and soy oil linked to global commodity markets. When Brent crude rises, freight and production costs rise immediately making edible oils highly sensitive to oil price changes.</t>
    </r>
  </si>
  <si>
    <r>
      <t>Transport is third (+0.454)</t>
    </r>
    <r>
      <rPr>
        <sz val="11"/>
        <color theme="1"/>
        <rFont val="Aptos Narrow"/>
        <family val="2"/>
        <scheme val="minor"/>
      </rPr>
      <t xml:space="preserve"> — directly makes sense since fuel is a major cost input for transport and logistics. When oil rises, transport costs follow closely.</t>
    </r>
  </si>
  <si>
    <r>
      <t>Food &amp; Beverages shows moderate correlation (+0.269)</t>
    </r>
    <r>
      <rPr>
        <sz val="11"/>
        <color theme="1"/>
        <rFont val="Aptos Narrow"/>
        <family val="2"/>
        <scheme val="minor"/>
      </rPr>
      <t xml:space="preserve"> — partially influenced by oil through transport and logistics costs, but also driven by domestic factors like monsoon and harvest so the relationship is not as strong.</t>
    </r>
  </si>
  <si>
    <r>
      <t>Cereals shows negative correlation (−0.276)</t>
    </r>
    <r>
      <rPr>
        <sz val="11"/>
        <color theme="1"/>
        <rFont val="Aptos Narrow"/>
        <family val="2"/>
        <scheme val="minor"/>
      </rPr>
      <t xml:space="preserve"> — cereal prices in India are largely driven by domestic monsoon, MSP (Minimum Support Price set by government) and procurement policies. These are completely independent of global oil movements which is why the correlation is negative.</t>
    </r>
  </si>
  <si>
    <r>
      <t>Health shows almost zero correlation (−0.040)</t>
    </r>
    <r>
      <rPr>
        <sz val="11"/>
        <color theme="1"/>
        <rFont val="Aptos Narrow"/>
        <family val="2"/>
        <scheme val="minor"/>
      </rPr>
      <t xml:space="preserve"> — healthcare prices are driven by domestic demand, medicine availability and hospital costs — completely unrelated to global oil.</t>
    </r>
  </si>
  <si>
    <r>
      <t>Key event:</t>
    </r>
    <r>
      <rPr>
        <sz val="11"/>
        <color theme="1"/>
        <rFont val="Aptos Narrow"/>
        <family val="2"/>
        <scheme val="minor"/>
      </rPr>
      <t xml:space="preserve"> Russia-Ukraine war (February 2022) caused Brent crude to spike from $95 to $120/barrel in just 4 months. This is the period where Fuel &amp; Light, Oils &amp; Fats and Transport all show their sharpest MoM% spikes in your data — making it the most visible evidence of oil price transmission into Indian CPI.</t>
    </r>
  </si>
  <si>
    <t xml:space="preserve">Q5 Insights </t>
  </si>
  <si>
    <t>Oil and Fats</t>
  </si>
  <si>
    <t>Jan CPI (Start)</t>
  </si>
  <si>
    <t>Dec/Last CPI (End)</t>
  </si>
  <si>
    <t>2019 had the highest inflation at ~7.74%. India faced its worst onion shortage in decades — unseasonal rains destroyed crops, onion prices surged 300%+, pushing food and overall CPI to a peak for the entire 2017–2023 period.</t>
  </si>
  <si>
    <t>Q2 Insights</t>
  </si>
  <si>
    <t>INDIA CPI INFLATION STUDY — ANALYSIS WORKBOOK</t>
  </si>
  <si>
    <t>NSO CPI Dataset • 2013–2023 • Rural, Urban, Rural+Urban • 27 Categories</t>
  </si>
  <si>
    <t>Data Cleaning</t>
  </si>
  <si>
    <t>Fixed typos, imputed missing values, converted data types</t>
  </si>
  <si>
    <t>Q1: CPI Basket</t>
  </si>
  <si>
    <t>Broader category contributions to CPI (May 2023)</t>
  </si>
  <si>
    <t>Q2: YoY Trend</t>
  </si>
  <si>
    <t>Annual inflation rates 2017–2023 with key drivers</t>
  </si>
  <si>
    <t>Q3: Food Prices</t>
  </si>
  <si>
    <t>12-month food inflation &amp; biggest category contributor</t>
  </si>
  <si>
    <t>Q4: COVID Impact</t>
  </si>
  <si>
    <t>Pre vs post-lockdown inflation across key categories</t>
  </si>
  <si>
    <t>Q5: Oil Prices</t>
  </si>
  <si>
    <t>Correlation of Brent crude with CPI category changes</t>
  </si>
  <si>
    <t>Tobacco highest at 9.3%</t>
  </si>
  <si>
    <t>2019 peak at 7.74%</t>
  </si>
  <si>
    <t>Spices +30.9 pts biggest driver</t>
  </si>
  <si>
    <t>Post-COVID index +9.4%</t>
  </si>
  <si>
    <t>Fuel &amp; Light strongest +0.548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</si>
</sst>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rgb="FFFFFFFF"/>
      <name val="Arial"/>
      <family val="2"/>
    </font>
    <font>
      <sz val="11"/>
      <color rgb="FFC00000"/>
      <name val="Aptos Narrow"/>
      <family val="2"/>
      <scheme val="minor"/>
    </font>
    <font>
      <sz val="11"/>
      <color theme="9" tint="-0.249977111117893"/>
      <name val="Aptos Narrow"/>
      <family val="2"/>
      <scheme val="minor"/>
    </font>
    <font>
      <b/>
      <sz val="11"/>
      <color theme="9" tint="-0.249977111117893"/>
      <name val="Aptos Narrow"/>
      <family val="2"/>
      <scheme val="minor"/>
    </font>
    <font>
      <b/>
      <sz val="12"/>
      <color rgb="FFFFFFFF"/>
      <name val="Arial"/>
      <family val="2"/>
    </font>
    <font>
      <b/>
      <sz val="10"/>
      <color rgb="FFFFFFFF"/>
      <name val="Arial"/>
      <family val="2"/>
    </font>
    <font>
      <b/>
      <sz val="10"/>
      <color rgb="FFFFFFFF"/>
      <name val="Arial"/>
      <charset val="1"/>
    </font>
    <font>
      <b/>
      <sz val="14"/>
      <color rgb="FFFFFFFF"/>
      <name val="Arial"/>
      <family val="2"/>
    </font>
    <font>
      <i/>
      <sz val="10"/>
      <color rgb="FF595959"/>
      <name val="Arial"/>
      <family val="2"/>
    </font>
    <font>
      <b/>
      <sz val="11"/>
      <color rgb="FF1F4E79"/>
      <name val="Arial"/>
      <family val="2"/>
    </font>
    <font>
      <sz val="10"/>
      <color rgb="FF404040"/>
      <name val="Arial"/>
      <family val="2"/>
    </font>
    <font>
      <u/>
      <sz val="10"/>
      <color rgb="FF2E75B6"/>
      <name val="Arial"/>
      <family val="2"/>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9"/>
        <bgColor rgb="FF003366"/>
      </patternFill>
    </fill>
    <fill>
      <patternFill patternType="solid">
        <fgColor theme="8"/>
        <bgColor indexed="64"/>
      </patternFill>
    </fill>
    <fill>
      <patternFill patternType="solid">
        <fgColor rgb="FF2E75B6"/>
        <bgColor rgb="FF0066CC"/>
      </patternFill>
    </fill>
    <fill>
      <patternFill patternType="solid">
        <fgColor theme="9" tint="0.39997558519241921"/>
        <bgColor indexed="64"/>
      </patternFill>
    </fill>
    <fill>
      <patternFill patternType="solid">
        <fgColor rgb="FFC00000"/>
        <bgColor indexed="64"/>
      </patternFill>
    </fill>
    <fill>
      <patternFill patternType="solid">
        <fgColor rgb="FFE8F0FE"/>
        <bgColor rgb="FFE0F2F1"/>
      </patternFill>
    </fill>
    <fill>
      <patternFill patternType="solid">
        <fgColor rgb="FFFFF3E0"/>
        <bgColor rgb="FFFFF2CC"/>
      </patternFill>
    </fill>
    <fill>
      <patternFill patternType="solid">
        <fgColor rgb="FFE8F5E9"/>
        <bgColor rgb="FFE0F2F1"/>
      </patternFill>
    </fill>
    <fill>
      <patternFill patternType="solid">
        <fgColor rgb="FFFCE4D6"/>
        <bgColor rgb="FFFFE0E0"/>
      </patternFill>
    </fill>
    <fill>
      <patternFill patternType="solid">
        <fgColor rgb="FFF3E5F5"/>
        <bgColor rgb="FFFFE0E0"/>
      </patternFill>
    </fill>
    <fill>
      <patternFill patternType="solid">
        <fgColor rgb="FFE0F2F1"/>
        <bgColor rgb="FFE8F5E9"/>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BFBFBF"/>
      </left>
      <right style="thin">
        <color rgb="FFBFBFBF"/>
      </right>
      <top style="thin">
        <color rgb="FFBFBFBF"/>
      </top>
      <bottom style="thin">
        <color rgb="FFBFBFBF"/>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8">
    <xf numFmtId="0" fontId="0" fillId="0" borderId="0" xfId="0"/>
    <xf numFmtId="0" fontId="0" fillId="0" borderId="0" xfId="0" applyAlignment="1">
      <alignment vertical="center"/>
    </xf>
    <xf numFmtId="0" fontId="0" fillId="0" borderId="0" xfId="0" applyAlignment="1">
      <alignment vertical="center" wrapText="1"/>
    </xf>
    <xf numFmtId="2" fontId="0" fillId="0" borderId="0" xfId="0" applyNumberFormat="1"/>
    <xf numFmtId="0" fontId="0" fillId="0" borderId="10" xfId="0" applyBorder="1" applyAlignment="1">
      <alignment vertical="center" wrapText="1"/>
    </xf>
    <xf numFmtId="164" fontId="0" fillId="0" borderId="10" xfId="0" applyNumberFormat="1" applyBorder="1" applyAlignment="1">
      <alignment vertical="center" wrapText="1"/>
    </xf>
    <xf numFmtId="10" fontId="0" fillId="0" borderId="10" xfId="0" applyNumberFormat="1" applyBorder="1" applyAlignment="1">
      <alignment vertical="center" wrapText="1"/>
    </xf>
    <xf numFmtId="0" fontId="16" fillId="0" borderId="10" xfId="0" applyFont="1" applyBorder="1" applyAlignment="1">
      <alignment vertical="center" wrapText="1"/>
    </xf>
    <xf numFmtId="164" fontId="0" fillId="0" borderId="10" xfId="0" applyNumberFormat="1" applyBorder="1"/>
    <xf numFmtId="0" fontId="0" fillId="34" borderId="10" xfId="0" applyFill="1" applyBorder="1" applyAlignment="1">
      <alignment vertical="center" wrapText="1"/>
    </xf>
    <xf numFmtId="0" fontId="21" fillId="0" borderId="10" xfId="0" applyFont="1" applyBorder="1" applyAlignment="1">
      <alignment vertical="center" wrapText="1"/>
    </xf>
    <xf numFmtId="10" fontId="21" fillId="0" borderId="10" xfId="0" applyNumberFormat="1" applyFont="1" applyBorder="1" applyAlignment="1">
      <alignment vertical="center" wrapText="1"/>
    </xf>
    <xf numFmtId="0" fontId="0" fillId="34" borderId="11" xfId="0" applyFill="1" applyBorder="1" applyAlignment="1">
      <alignment vertical="center" wrapText="1"/>
    </xf>
    <xf numFmtId="0" fontId="0" fillId="0" borderId="0" xfId="0" applyAlignment="1">
      <alignment wrapText="1"/>
    </xf>
    <xf numFmtId="10" fontId="0" fillId="0" borderId="0" xfId="0" applyNumberFormat="1"/>
    <xf numFmtId="0" fontId="0" fillId="0" borderId="10" xfId="0" applyBorder="1"/>
    <xf numFmtId="0" fontId="0" fillId="0" borderId="10" xfId="0" applyBorder="1" applyAlignment="1">
      <alignment wrapText="1"/>
    </xf>
    <xf numFmtId="10" fontId="0" fillId="0" borderId="10" xfId="0" applyNumberFormat="1" applyBorder="1"/>
    <xf numFmtId="0" fontId="19" fillId="0" borderId="10" xfId="0" applyFont="1" applyBorder="1"/>
    <xf numFmtId="0" fontId="23" fillId="35" borderId="0" xfId="0" applyFont="1" applyFill="1" applyAlignment="1">
      <alignment horizontal="center" vertical="center"/>
    </xf>
    <xf numFmtId="0" fontId="23" fillId="35" borderId="10" xfId="0" applyFont="1" applyFill="1" applyBorder="1" applyAlignment="1">
      <alignment horizontal="center" vertical="center"/>
    </xf>
    <xf numFmtId="2" fontId="0" fillId="0" borderId="10" xfId="0" applyNumberFormat="1" applyBorder="1"/>
    <xf numFmtId="0" fontId="0" fillId="36" borderId="10" xfId="0" applyFill="1" applyBorder="1"/>
    <xf numFmtId="2" fontId="0" fillId="36" borderId="10" xfId="0" applyNumberFormat="1" applyFill="1" applyBorder="1"/>
    <xf numFmtId="10" fontId="0" fillId="36" borderId="10" xfId="0" applyNumberFormat="1" applyFill="1" applyBorder="1"/>
    <xf numFmtId="0" fontId="0" fillId="37" borderId="10" xfId="0" applyFill="1" applyBorder="1"/>
    <xf numFmtId="2" fontId="0" fillId="37" borderId="10" xfId="0" applyNumberFormat="1" applyFill="1" applyBorder="1"/>
    <xf numFmtId="10" fontId="0" fillId="37" borderId="10" xfId="0" applyNumberFormat="1" applyFill="1" applyBorder="1"/>
    <xf numFmtId="1" fontId="0" fillId="0" borderId="10" xfId="0" applyNumberFormat="1" applyBorder="1"/>
    <xf numFmtId="0" fontId="20" fillId="0" borderId="10" xfId="0" applyFont="1" applyBorder="1"/>
    <xf numFmtId="0" fontId="16" fillId="0" borderId="0" xfId="0" applyFont="1"/>
    <xf numFmtId="0" fontId="0" fillId="0" borderId="0" xfId="0" applyAlignment="1">
      <alignment horizontal="left" vertical="center" indent="1"/>
    </xf>
    <xf numFmtId="0" fontId="16" fillId="0" borderId="0" xfId="0" applyFont="1" applyAlignment="1">
      <alignment horizontal="left" vertical="center" indent="1"/>
    </xf>
    <xf numFmtId="165" fontId="0" fillId="0" borderId="0" xfId="0" applyNumberFormat="1"/>
    <xf numFmtId="0" fontId="14" fillId="0" borderId="10" xfId="0" applyFont="1" applyBorder="1"/>
    <xf numFmtId="10" fontId="14" fillId="0" borderId="10" xfId="0" applyNumberFormat="1" applyFont="1" applyBorder="1"/>
    <xf numFmtId="0" fontId="14" fillId="0" borderId="10" xfId="0" applyFont="1" applyBorder="1" applyAlignment="1">
      <alignment wrapText="1"/>
    </xf>
    <xf numFmtId="0" fontId="24" fillId="35" borderId="10" xfId="0" applyFont="1" applyFill="1" applyBorder="1" applyAlignment="1">
      <alignment horizontal="center" vertical="center"/>
    </xf>
    <xf numFmtId="0" fontId="27" fillId="38" borderId="12" xfId="0" applyFont="1" applyFill="1" applyBorder="1" applyAlignment="1">
      <alignment horizontal="left" vertical="center"/>
    </xf>
    <xf numFmtId="0" fontId="28" fillId="38" borderId="12" xfId="0" applyFont="1" applyFill="1" applyBorder="1" applyAlignment="1">
      <alignment horizontal="left" vertical="center"/>
    </xf>
    <xf numFmtId="0" fontId="29" fillId="38" borderId="12" xfId="0" applyFont="1" applyFill="1" applyBorder="1" applyAlignment="1">
      <alignment horizontal="center" vertical="center"/>
    </xf>
    <xf numFmtId="0" fontId="27" fillId="39" borderId="12" xfId="0" applyFont="1" applyFill="1" applyBorder="1" applyAlignment="1">
      <alignment horizontal="left" vertical="center"/>
    </xf>
    <xf numFmtId="0" fontId="28" fillId="39" borderId="12" xfId="0" applyFont="1" applyFill="1" applyBorder="1" applyAlignment="1">
      <alignment horizontal="left" vertical="center"/>
    </xf>
    <xf numFmtId="0" fontId="27" fillId="40" borderId="12" xfId="0" applyFont="1" applyFill="1" applyBorder="1" applyAlignment="1">
      <alignment horizontal="left" vertical="center"/>
    </xf>
    <xf numFmtId="0" fontId="28" fillId="40" borderId="12" xfId="0" applyFont="1" applyFill="1" applyBorder="1" applyAlignment="1">
      <alignment horizontal="left" vertical="center"/>
    </xf>
    <xf numFmtId="0" fontId="27" fillId="41" borderId="12" xfId="0" applyFont="1" applyFill="1" applyBorder="1" applyAlignment="1">
      <alignment horizontal="left" vertical="center"/>
    </xf>
    <xf numFmtId="0" fontId="28" fillId="41" borderId="12" xfId="0" applyFont="1" applyFill="1" applyBorder="1" applyAlignment="1">
      <alignment horizontal="left" vertical="center"/>
    </xf>
    <xf numFmtId="0" fontId="27" fillId="42" borderId="12" xfId="0" applyFont="1" applyFill="1" applyBorder="1" applyAlignment="1">
      <alignment horizontal="left" vertical="center"/>
    </xf>
    <xf numFmtId="0" fontId="28" fillId="42" borderId="12" xfId="0" applyFont="1" applyFill="1" applyBorder="1" applyAlignment="1">
      <alignment horizontal="left" vertical="center"/>
    </xf>
    <xf numFmtId="0" fontId="27" fillId="43" borderId="12" xfId="0" applyFont="1" applyFill="1" applyBorder="1" applyAlignment="1">
      <alignment horizontal="left" vertical="center"/>
    </xf>
    <xf numFmtId="0" fontId="28" fillId="43" borderId="12" xfId="0" applyFont="1" applyFill="1" applyBorder="1" applyAlignment="1">
      <alignment horizontal="left" vertical="center"/>
    </xf>
    <xf numFmtId="0" fontId="25" fillId="33" borderId="0" xfId="0" applyFont="1" applyFill="1" applyAlignment="1">
      <alignment horizontal="center" vertical="center"/>
    </xf>
    <xf numFmtId="0" fontId="26" fillId="0" borderId="0" xfId="0" applyFont="1" applyAlignment="1">
      <alignment horizontal="center"/>
    </xf>
    <xf numFmtId="0" fontId="22" fillId="33" borderId="0" xfId="0" applyFont="1" applyFill="1" applyAlignment="1">
      <alignment horizontal="center" vertical="center" wrapText="1"/>
    </xf>
    <xf numFmtId="0" fontId="18" fillId="33" borderId="0" xfId="0" applyFont="1" applyFill="1" applyAlignment="1">
      <alignment horizontal="center" vertical="center" wrapText="1"/>
    </xf>
    <xf numFmtId="0" fontId="22" fillId="33" borderId="0" xfId="0" applyFont="1" applyFill="1" applyAlignment="1">
      <alignment horizontal="center" vertical="center"/>
    </xf>
    <xf numFmtId="0" fontId="23" fillId="35" borderId="10" xfId="0" applyFont="1" applyFill="1" applyBorder="1" applyAlignment="1">
      <alignment horizontal="center" vertical="center"/>
    </xf>
    <xf numFmtId="0" fontId="23" fillId="35"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Q1 -CPI Basket Contribution % by Category (May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tx>
            <c:strRef>
              <c:f>CPI_Basket!$C$4</c:f>
              <c:strCache>
                <c:ptCount val="1"/>
                <c:pt idx="0">
                  <c:v>Contribution %</c:v>
                </c:pt>
              </c:strCache>
            </c:strRef>
          </c:tx>
          <c:spPr>
            <a:solidFill>
              <a:schemeClr val="accent1"/>
            </a:solidFill>
            <a:ln>
              <a:noFill/>
            </a:ln>
            <a:effectLst/>
          </c:spPr>
          <c:invertIfNegative val="0"/>
          <c:cat>
            <c:strRef>
              <c:f>CPI_Basket!$A$5:$A$16</c:f>
              <c:strCache>
                <c:ptCount val="12"/>
                <c:pt idx="0">
                  <c:v>Food</c:v>
                </c:pt>
                <c:pt idx="1">
                  <c:v>Clothing &amp; Footwear</c:v>
                </c:pt>
                <c:pt idx="2">
                  <c:v>Housing</c:v>
                </c:pt>
                <c:pt idx="3">
                  <c:v>Energy</c:v>
                </c:pt>
                <c:pt idx="4">
                  <c:v>Healthcare</c:v>
                </c:pt>
                <c:pt idx="5">
                  <c:v>Transport &amp; Communication</c:v>
                </c:pt>
                <c:pt idx="6">
                  <c:v>Education</c:v>
                </c:pt>
                <c:pt idx="7">
                  <c:v>Recreation</c:v>
                </c:pt>
                <c:pt idx="8">
                  <c:v>Personal Care</c:v>
                </c:pt>
                <c:pt idx="9">
                  <c:v>Household Goods</c:v>
                </c:pt>
                <c:pt idx="10">
                  <c:v>Tobacco &amp; Intoxicants</c:v>
                </c:pt>
                <c:pt idx="11">
                  <c:v>Miscellaneous</c:v>
                </c:pt>
              </c:strCache>
            </c:strRef>
          </c:cat>
          <c:val>
            <c:numRef>
              <c:f>CPI_Basket!$C$5:$C$16</c:f>
              <c:numCache>
                <c:formatCode>0.00%</c:formatCode>
                <c:ptCount val="12"/>
                <c:pt idx="0">
                  <c:v>8.2301105957902257E-2</c:v>
                </c:pt>
                <c:pt idx="1">
                  <c:v>8.5522654298965398E-2</c:v>
                </c:pt>
                <c:pt idx="2">
                  <c:v>8.1441312879058148E-2</c:v>
                </c:pt>
                <c:pt idx="3">
                  <c:v>8.4780592222618634E-2</c:v>
                </c:pt>
                <c:pt idx="4">
                  <c:v>8.6125579735997146E-2</c:v>
                </c:pt>
                <c:pt idx="5">
                  <c:v>7.6432393863717446E-2</c:v>
                </c:pt>
                <c:pt idx="6">
                  <c:v>8.213699607563324E-2</c:v>
                </c:pt>
                <c:pt idx="7">
                  <c:v>7.9400642169104529E-2</c:v>
                </c:pt>
                <c:pt idx="8">
                  <c:v>8.5893685337138773E-2</c:v>
                </c:pt>
                <c:pt idx="9">
                  <c:v>8.1255797359971446E-2</c:v>
                </c:pt>
                <c:pt idx="10">
                  <c:v>9.3221548341063151E-2</c:v>
                </c:pt>
                <c:pt idx="11">
                  <c:v>8.1487691758829819E-2</c:v>
                </c:pt>
              </c:numCache>
            </c:numRef>
          </c:val>
          <c:extLst>
            <c:ext xmlns:c16="http://schemas.microsoft.com/office/drawing/2014/chart" uri="{C3380CC4-5D6E-409C-BE32-E72D297353CC}">
              <c16:uniqueId val="{00000000-210F-4734-B290-2FC21411A915}"/>
            </c:ext>
          </c:extLst>
        </c:ser>
        <c:dLbls>
          <c:showLegendKey val="0"/>
          <c:showVal val="0"/>
          <c:showCatName val="0"/>
          <c:showSerName val="0"/>
          <c:showPercent val="0"/>
          <c:showBubbleSize val="0"/>
        </c:dLbls>
        <c:gapWidth val="182"/>
        <c:axId val="301063696"/>
        <c:axId val="301060816"/>
      </c:barChart>
      <c:catAx>
        <c:axId val="3010636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1"/>
                  <a:t>Contributuon</a:t>
                </a:r>
                <a:r>
                  <a:rPr lang="en-IN" b="1" baseline="0"/>
                  <a:t> %</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1060816"/>
        <c:crosses val="autoZero"/>
        <c:auto val="1"/>
        <c:lblAlgn val="ctr"/>
        <c:lblOffset val="100"/>
        <c:noMultiLvlLbl val="0"/>
      </c:catAx>
      <c:valAx>
        <c:axId val="301060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1"/>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106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Q2 -Year-on-Year CPI Inflation Rate (Rural+Urban), 2017–2023</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16169274167831824"/>
          <c:y val="0.25381188118811887"/>
          <c:w val="0.66476140015208385"/>
          <c:h val="0.52676580650191007"/>
        </c:manualLayout>
      </c:layout>
      <c:scatterChart>
        <c:scatterStyle val="smoothMarker"/>
        <c:varyColors val="0"/>
        <c:ser>
          <c:idx val="0"/>
          <c:order val="0"/>
          <c:tx>
            <c:strRef>
              <c:f>'YOY_Inflation '!$D$3</c:f>
              <c:strCache>
                <c:ptCount val="1"/>
                <c:pt idx="0">
                  <c:v>YoY Rate</c:v>
                </c:pt>
              </c:strCache>
            </c:strRef>
          </c:tx>
          <c:spPr>
            <a:ln w="19050" cap="rnd">
              <a:solidFill>
                <a:schemeClr val="accent1"/>
              </a:solidFill>
              <a:round/>
            </a:ln>
            <a:effectLst/>
          </c:spPr>
          <c:marker>
            <c:symbol val="circle"/>
            <c:size val="5"/>
            <c:spPr>
              <a:solidFill>
                <a:srgbClr val="FFFFFF"/>
              </a:solidFill>
              <a:ln w="9525">
                <a:solidFill>
                  <a:schemeClr val="accent1"/>
                </a:solidFill>
              </a:ln>
              <a:effectLst/>
            </c:spPr>
          </c:marker>
          <c:xVal>
            <c:numRef>
              <c:f>'YOY_Inflation '!$A$4:$A$10</c:f>
              <c:numCache>
                <c:formatCode>General</c:formatCode>
                <c:ptCount val="7"/>
                <c:pt idx="0">
                  <c:v>2017</c:v>
                </c:pt>
                <c:pt idx="1">
                  <c:v>2018</c:v>
                </c:pt>
                <c:pt idx="2">
                  <c:v>2019</c:v>
                </c:pt>
                <c:pt idx="3">
                  <c:v>2020</c:v>
                </c:pt>
                <c:pt idx="4">
                  <c:v>2021</c:v>
                </c:pt>
                <c:pt idx="5">
                  <c:v>2022</c:v>
                </c:pt>
                <c:pt idx="6">
                  <c:v>2023</c:v>
                </c:pt>
              </c:numCache>
            </c:numRef>
          </c:xVal>
          <c:yVal>
            <c:numRef>
              <c:f>'YOY_Inflation '!$D$4:$D$10</c:f>
              <c:numCache>
                <c:formatCode>0.00%</c:formatCode>
                <c:ptCount val="7"/>
                <c:pt idx="0">
                  <c:v>5.295471987720627E-2</c:v>
                </c:pt>
                <c:pt idx="1">
                  <c:v>2.3374726077428697E-2</c:v>
                </c:pt>
                <c:pt idx="2">
                  <c:v>7.7363896848137617E-2</c:v>
                </c:pt>
                <c:pt idx="3">
                  <c:v>5.7922769640479481E-2</c:v>
                </c:pt>
                <c:pt idx="4">
                  <c:v>5.657978385251098E-2</c:v>
                </c:pt>
                <c:pt idx="5">
                  <c:v>6.0350030175015092E-2</c:v>
                </c:pt>
                <c:pt idx="6">
                  <c:v>1.4730878186968806E-2</c:v>
                </c:pt>
              </c:numCache>
            </c:numRef>
          </c:yVal>
          <c:smooth val="1"/>
          <c:extLst>
            <c:ext xmlns:c16="http://schemas.microsoft.com/office/drawing/2014/chart" uri="{C3380CC4-5D6E-409C-BE32-E72D297353CC}">
              <c16:uniqueId val="{00000000-106B-4F88-80B7-3E5217890BFF}"/>
            </c:ext>
          </c:extLst>
        </c:ser>
        <c:dLbls>
          <c:showLegendKey val="0"/>
          <c:showVal val="0"/>
          <c:showCatName val="0"/>
          <c:showSerName val="0"/>
          <c:showPercent val="0"/>
          <c:showBubbleSize val="0"/>
        </c:dLbls>
        <c:axId val="2143083024"/>
        <c:axId val="2143083504"/>
      </c:scatterChart>
      <c:valAx>
        <c:axId val="2143083024"/>
        <c:scaling>
          <c:orientation val="minMax"/>
          <c:max val="2023"/>
          <c:min val="2017"/>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083504"/>
        <c:crosses val="autoZero"/>
        <c:crossBetween val="midCat"/>
      </c:valAx>
      <c:valAx>
        <c:axId val="21430835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Inflation Rate</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083024"/>
        <c:crosses val="autoZero"/>
        <c:crossBetween val="midCat"/>
        <c:majorUnit val="1.0000000000000002E-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Q3 -Food Avg Index — Jun 2022 to May 2023</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v>Food Avg Index</c:v>
          </c:tx>
          <c:spPr>
            <a:ln w="28575" cap="rnd">
              <a:solidFill>
                <a:schemeClr val="accent1"/>
              </a:solidFill>
              <a:round/>
            </a:ln>
            <a:effectLst/>
          </c:spPr>
          <c:marker>
            <c:symbol val="none"/>
          </c:marker>
          <c:cat>
            <c:strRef>
              <c:f>Food_Inflation!$A$5:$A$16</c:f>
              <c:strCache>
                <c:ptCount val="12"/>
                <c:pt idx="0">
                  <c:v>2022 June</c:v>
                </c:pt>
                <c:pt idx="1">
                  <c:v>2022 July</c:v>
                </c:pt>
                <c:pt idx="2">
                  <c:v>2022 August</c:v>
                </c:pt>
                <c:pt idx="3">
                  <c:v>2022 September</c:v>
                </c:pt>
                <c:pt idx="4">
                  <c:v>2022 October</c:v>
                </c:pt>
                <c:pt idx="5">
                  <c:v>2022 November</c:v>
                </c:pt>
                <c:pt idx="6">
                  <c:v>2022 December</c:v>
                </c:pt>
                <c:pt idx="7">
                  <c:v>2023 January</c:v>
                </c:pt>
                <c:pt idx="8">
                  <c:v>2023 February</c:v>
                </c:pt>
                <c:pt idx="9">
                  <c:v>2023 March</c:v>
                </c:pt>
                <c:pt idx="10">
                  <c:v>2023 April</c:v>
                </c:pt>
                <c:pt idx="11">
                  <c:v>2023 May</c:v>
                </c:pt>
              </c:strCache>
            </c:strRef>
          </c:cat>
          <c:val>
            <c:numRef>
              <c:f>Food_Inflation!$B$5:$B$16</c:f>
              <c:numCache>
                <c:formatCode>0.00</c:formatCode>
                <c:ptCount val="12"/>
                <c:pt idx="0">
                  <c:v>173.91666666666666</c:v>
                </c:pt>
                <c:pt idx="1">
                  <c:v>174.27500000000001</c:v>
                </c:pt>
                <c:pt idx="2">
                  <c:v>174.40833333333333</c:v>
                </c:pt>
                <c:pt idx="3">
                  <c:v>175.25833333333333</c:v>
                </c:pt>
                <c:pt idx="4">
                  <c:v>176.47500000000002</c:v>
                </c:pt>
                <c:pt idx="5">
                  <c:v>176.54166666666666</c:v>
                </c:pt>
                <c:pt idx="6">
                  <c:v>175.625</c:v>
                </c:pt>
                <c:pt idx="7">
                  <c:v>176.33333333333334</c:v>
                </c:pt>
                <c:pt idx="8">
                  <c:v>175.17499999999998</c:v>
                </c:pt>
                <c:pt idx="9">
                  <c:v>175.18333333333331</c:v>
                </c:pt>
                <c:pt idx="10">
                  <c:v>175.97500000000002</c:v>
                </c:pt>
                <c:pt idx="11">
                  <c:v>177.31666666666669</c:v>
                </c:pt>
              </c:numCache>
            </c:numRef>
          </c:val>
          <c:smooth val="0"/>
          <c:extLst>
            <c:ext xmlns:c16="http://schemas.microsoft.com/office/drawing/2014/chart" uri="{C3380CC4-5D6E-409C-BE32-E72D297353CC}">
              <c16:uniqueId val="{00000000-93C4-42D0-A76E-D664280A12B3}"/>
            </c:ext>
          </c:extLst>
        </c:ser>
        <c:dLbls>
          <c:showLegendKey val="0"/>
          <c:showVal val="0"/>
          <c:showCatName val="0"/>
          <c:showSerName val="0"/>
          <c:showPercent val="0"/>
          <c:showBubbleSize val="0"/>
        </c:dLbls>
        <c:smooth val="0"/>
        <c:axId val="2123450048"/>
        <c:axId val="2123450528"/>
      </c:lineChart>
      <c:catAx>
        <c:axId val="212345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450528"/>
        <c:crosses val="autoZero"/>
        <c:auto val="1"/>
        <c:lblAlgn val="ctr"/>
        <c:lblOffset val="100"/>
        <c:noMultiLvlLbl val="0"/>
      </c:catAx>
      <c:valAx>
        <c:axId val="21234505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Food </a:t>
                </a:r>
                <a:r>
                  <a:rPr lang="en-IN" baseline="0"/>
                  <a:t>Index Value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45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Q4 - CPI Trend Around COVID-19 (2019–2021)</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strRef>
              <c:f>COVID_Impact!$C$3</c:f>
              <c:strCache>
                <c:ptCount val="1"/>
                <c:pt idx="0">
                  <c:v>General Index</c:v>
                </c:pt>
              </c:strCache>
            </c:strRef>
          </c:tx>
          <c:spPr>
            <a:ln w="28575" cap="rnd">
              <a:solidFill>
                <a:schemeClr val="accent1"/>
              </a:solidFill>
              <a:round/>
            </a:ln>
            <a:effectLst/>
          </c:spPr>
          <c:marker>
            <c:symbol val="none"/>
          </c:marker>
          <c:cat>
            <c:strRef>
              <c:f>COVID_Impact!$A$4:$A$38</c:f>
              <c:strCache>
                <c:ptCount val="35"/>
                <c:pt idx="0">
                  <c:v>2019 January</c:v>
                </c:pt>
                <c:pt idx="1">
                  <c:v>2019 February</c:v>
                </c:pt>
                <c:pt idx="2">
                  <c:v>2019 March</c:v>
                </c:pt>
                <c:pt idx="3">
                  <c:v>2019 May</c:v>
                </c:pt>
                <c:pt idx="4">
                  <c:v>2019 June</c:v>
                </c:pt>
                <c:pt idx="5">
                  <c:v>2019 July</c:v>
                </c:pt>
                <c:pt idx="6">
                  <c:v>2019 August</c:v>
                </c:pt>
                <c:pt idx="7">
                  <c:v>2019 September</c:v>
                </c:pt>
                <c:pt idx="8">
                  <c:v>2019 October</c:v>
                </c:pt>
                <c:pt idx="9">
                  <c:v>2019 November</c:v>
                </c:pt>
                <c:pt idx="10">
                  <c:v>2019 December</c:v>
                </c:pt>
                <c:pt idx="11">
                  <c:v>2020 January</c:v>
                </c:pt>
                <c:pt idx="12">
                  <c:v>2020 February</c:v>
                </c:pt>
                <c:pt idx="13">
                  <c:v>2020 March</c:v>
                </c:pt>
                <c:pt idx="14">
                  <c:v>2020 April</c:v>
                </c:pt>
                <c:pt idx="15">
                  <c:v>2020 May</c:v>
                </c:pt>
                <c:pt idx="16">
                  <c:v>2020 June</c:v>
                </c:pt>
                <c:pt idx="17">
                  <c:v>2020 July</c:v>
                </c:pt>
                <c:pt idx="18">
                  <c:v>2020 August</c:v>
                </c:pt>
                <c:pt idx="19">
                  <c:v>2020 September</c:v>
                </c:pt>
                <c:pt idx="20">
                  <c:v>2020 October</c:v>
                </c:pt>
                <c:pt idx="21">
                  <c:v>2020 November</c:v>
                </c:pt>
                <c:pt idx="22">
                  <c:v>2020 December</c:v>
                </c:pt>
                <c:pt idx="23">
                  <c:v>2021 January</c:v>
                </c:pt>
                <c:pt idx="24">
                  <c:v>2021 February</c:v>
                </c:pt>
                <c:pt idx="25">
                  <c:v>2021 March</c:v>
                </c:pt>
                <c:pt idx="26">
                  <c:v>2021 April</c:v>
                </c:pt>
                <c:pt idx="27">
                  <c:v>2021 May</c:v>
                </c:pt>
                <c:pt idx="28">
                  <c:v>2021 June</c:v>
                </c:pt>
                <c:pt idx="29">
                  <c:v>2021 July</c:v>
                </c:pt>
                <c:pt idx="30">
                  <c:v>2021 August</c:v>
                </c:pt>
                <c:pt idx="31">
                  <c:v>2021 September</c:v>
                </c:pt>
                <c:pt idx="32">
                  <c:v>2021 October</c:v>
                </c:pt>
                <c:pt idx="33">
                  <c:v>2021 November</c:v>
                </c:pt>
                <c:pt idx="34">
                  <c:v>2021 December</c:v>
                </c:pt>
              </c:strCache>
            </c:strRef>
          </c:cat>
          <c:val>
            <c:numRef>
              <c:f>COVID_Impact!$C$4:$C$38</c:f>
              <c:numCache>
                <c:formatCode>General</c:formatCode>
                <c:ptCount val="35"/>
                <c:pt idx="0">
                  <c:v>139.6</c:v>
                </c:pt>
                <c:pt idx="1">
                  <c:v>139.9</c:v>
                </c:pt>
                <c:pt idx="2">
                  <c:v>140.4</c:v>
                </c:pt>
                <c:pt idx="3">
                  <c:v>142</c:v>
                </c:pt>
                <c:pt idx="4">
                  <c:v>142.9</c:v>
                </c:pt>
                <c:pt idx="5">
                  <c:v>144.19999999999999</c:v>
                </c:pt>
                <c:pt idx="6">
                  <c:v>145</c:v>
                </c:pt>
                <c:pt idx="7">
                  <c:v>145.80000000000001</c:v>
                </c:pt>
                <c:pt idx="8">
                  <c:v>147.19999999999999</c:v>
                </c:pt>
                <c:pt idx="9">
                  <c:v>148.6</c:v>
                </c:pt>
                <c:pt idx="10">
                  <c:v>150.4</c:v>
                </c:pt>
                <c:pt idx="11">
                  <c:v>150.19999999999999</c:v>
                </c:pt>
                <c:pt idx="12">
                  <c:v>149.1</c:v>
                </c:pt>
                <c:pt idx="13">
                  <c:v>148.6</c:v>
                </c:pt>
                <c:pt idx="14">
                  <c:v>155.6</c:v>
                </c:pt>
                <c:pt idx="15">
                  <c:v>155.6</c:v>
                </c:pt>
                <c:pt idx="16">
                  <c:v>151.80000000000001</c:v>
                </c:pt>
                <c:pt idx="17">
                  <c:v>151.80000000000001</c:v>
                </c:pt>
                <c:pt idx="18">
                  <c:v>153.9</c:v>
                </c:pt>
                <c:pt idx="19">
                  <c:v>154.69999999999999</c:v>
                </c:pt>
                <c:pt idx="20">
                  <c:v>156.4</c:v>
                </c:pt>
                <c:pt idx="21">
                  <c:v>158.4</c:v>
                </c:pt>
                <c:pt idx="22">
                  <c:v>158.9</c:v>
                </c:pt>
                <c:pt idx="23">
                  <c:v>157.30000000000001</c:v>
                </c:pt>
                <c:pt idx="24">
                  <c:v>156.6</c:v>
                </c:pt>
                <c:pt idx="25">
                  <c:v>156.80000000000001</c:v>
                </c:pt>
                <c:pt idx="26">
                  <c:v>157.80000000000001</c:v>
                </c:pt>
                <c:pt idx="27">
                  <c:v>160.4</c:v>
                </c:pt>
                <c:pt idx="28">
                  <c:v>161.30000000000001</c:v>
                </c:pt>
                <c:pt idx="29">
                  <c:v>162.5</c:v>
                </c:pt>
                <c:pt idx="30">
                  <c:v>163.19999999999999</c:v>
                </c:pt>
                <c:pt idx="31">
                  <c:v>163.19999999999999</c:v>
                </c:pt>
                <c:pt idx="32">
                  <c:v>165.5</c:v>
                </c:pt>
                <c:pt idx="33">
                  <c:v>166.7</c:v>
                </c:pt>
                <c:pt idx="34">
                  <c:v>166.2</c:v>
                </c:pt>
              </c:numCache>
            </c:numRef>
          </c:val>
          <c:smooth val="0"/>
          <c:extLst>
            <c:ext xmlns:c16="http://schemas.microsoft.com/office/drawing/2014/chart" uri="{C3380CC4-5D6E-409C-BE32-E72D297353CC}">
              <c16:uniqueId val="{00000000-F553-4171-ADCE-4F5B0A29883A}"/>
            </c:ext>
          </c:extLst>
        </c:ser>
        <c:ser>
          <c:idx val="1"/>
          <c:order val="1"/>
          <c:tx>
            <c:strRef>
              <c:f>COVID_Impact!$E$3</c:f>
              <c:strCache>
                <c:ptCount val="1"/>
                <c:pt idx="0">
                  <c:v>Health Index</c:v>
                </c:pt>
              </c:strCache>
            </c:strRef>
          </c:tx>
          <c:spPr>
            <a:ln w="28575" cap="rnd">
              <a:solidFill>
                <a:schemeClr val="accent2"/>
              </a:solidFill>
              <a:round/>
            </a:ln>
            <a:effectLst/>
          </c:spPr>
          <c:marker>
            <c:symbol val="none"/>
          </c:marker>
          <c:cat>
            <c:strRef>
              <c:f>COVID_Impact!$A$4:$A$38</c:f>
              <c:strCache>
                <c:ptCount val="35"/>
                <c:pt idx="0">
                  <c:v>2019 January</c:v>
                </c:pt>
                <c:pt idx="1">
                  <c:v>2019 February</c:v>
                </c:pt>
                <c:pt idx="2">
                  <c:v>2019 March</c:v>
                </c:pt>
                <c:pt idx="3">
                  <c:v>2019 May</c:v>
                </c:pt>
                <c:pt idx="4">
                  <c:v>2019 June</c:v>
                </c:pt>
                <c:pt idx="5">
                  <c:v>2019 July</c:v>
                </c:pt>
                <c:pt idx="6">
                  <c:v>2019 August</c:v>
                </c:pt>
                <c:pt idx="7">
                  <c:v>2019 September</c:v>
                </c:pt>
                <c:pt idx="8">
                  <c:v>2019 October</c:v>
                </c:pt>
                <c:pt idx="9">
                  <c:v>2019 November</c:v>
                </c:pt>
                <c:pt idx="10">
                  <c:v>2019 December</c:v>
                </c:pt>
                <c:pt idx="11">
                  <c:v>2020 January</c:v>
                </c:pt>
                <c:pt idx="12">
                  <c:v>2020 February</c:v>
                </c:pt>
                <c:pt idx="13">
                  <c:v>2020 March</c:v>
                </c:pt>
                <c:pt idx="14">
                  <c:v>2020 April</c:v>
                </c:pt>
                <c:pt idx="15">
                  <c:v>2020 May</c:v>
                </c:pt>
                <c:pt idx="16">
                  <c:v>2020 June</c:v>
                </c:pt>
                <c:pt idx="17">
                  <c:v>2020 July</c:v>
                </c:pt>
                <c:pt idx="18">
                  <c:v>2020 August</c:v>
                </c:pt>
                <c:pt idx="19">
                  <c:v>2020 September</c:v>
                </c:pt>
                <c:pt idx="20">
                  <c:v>2020 October</c:v>
                </c:pt>
                <c:pt idx="21">
                  <c:v>2020 November</c:v>
                </c:pt>
                <c:pt idx="22">
                  <c:v>2020 December</c:v>
                </c:pt>
                <c:pt idx="23">
                  <c:v>2021 January</c:v>
                </c:pt>
                <c:pt idx="24">
                  <c:v>2021 February</c:v>
                </c:pt>
                <c:pt idx="25">
                  <c:v>2021 March</c:v>
                </c:pt>
                <c:pt idx="26">
                  <c:v>2021 April</c:v>
                </c:pt>
                <c:pt idx="27">
                  <c:v>2021 May</c:v>
                </c:pt>
                <c:pt idx="28">
                  <c:v>2021 June</c:v>
                </c:pt>
                <c:pt idx="29">
                  <c:v>2021 July</c:v>
                </c:pt>
                <c:pt idx="30">
                  <c:v>2021 August</c:v>
                </c:pt>
                <c:pt idx="31">
                  <c:v>2021 September</c:v>
                </c:pt>
                <c:pt idx="32">
                  <c:v>2021 October</c:v>
                </c:pt>
                <c:pt idx="33">
                  <c:v>2021 November</c:v>
                </c:pt>
                <c:pt idx="34">
                  <c:v>2021 December</c:v>
                </c:pt>
              </c:strCache>
            </c:strRef>
          </c:cat>
          <c:val>
            <c:numRef>
              <c:f>COVID_Impact!$E$4:$E$38</c:f>
              <c:numCache>
                <c:formatCode>General</c:formatCode>
                <c:ptCount val="35"/>
                <c:pt idx="0">
                  <c:v>145.1</c:v>
                </c:pt>
                <c:pt idx="1">
                  <c:v>145.6</c:v>
                </c:pt>
                <c:pt idx="2">
                  <c:v>146.19999999999999</c:v>
                </c:pt>
                <c:pt idx="3">
                  <c:v>146.9</c:v>
                </c:pt>
                <c:pt idx="4">
                  <c:v>147.4</c:v>
                </c:pt>
                <c:pt idx="5">
                  <c:v>147.9</c:v>
                </c:pt>
                <c:pt idx="6">
                  <c:v>148.5</c:v>
                </c:pt>
                <c:pt idx="7">
                  <c:v>149</c:v>
                </c:pt>
                <c:pt idx="8">
                  <c:v>149.4</c:v>
                </c:pt>
                <c:pt idx="9">
                  <c:v>149.9</c:v>
                </c:pt>
                <c:pt idx="10">
                  <c:v>150.4</c:v>
                </c:pt>
                <c:pt idx="11">
                  <c:v>151.19999999999999</c:v>
                </c:pt>
                <c:pt idx="12">
                  <c:v>151.69999999999999</c:v>
                </c:pt>
                <c:pt idx="13">
                  <c:v>152.30000000000001</c:v>
                </c:pt>
                <c:pt idx="14">
                  <c:v>155.6</c:v>
                </c:pt>
                <c:pt idx="15">
                  <c:v>155.6</c:v>
                </c:pt>
                <c:pt idx="16">
                  <c:v>154.4</c:v>
                </c:pt>
                <c:pt idx="17">
                  <c:v>154.4</c:v>
                </c:pt>
                <c:pt idx="18">
                  <c:v>155</c:v>
                </c:pt>
                <c:pt idx="19">
                  <c:v>155.6</c:v>
                </c:pt>
                <c:pt idx="20">
                  <c:v>156.30000000000001</c:v>
                </c:pt>
                <c:pt idx="21">
                  <c:v>157.19999999999999</c:v>
                </c:pt>
                <c:pt idx="22">
                  <c:v>158.30000000000001</c:v>
                </c:pt>
                <c:pt idx="23">
                  <c:v>159.30000000000001</c:v>
                </c:pt>
                <c:pt idx="24">
                  <c:v>161.30000000000001</c:v>
                </c:pt>
                <c:pt idx="25">
                  <c:v>161.69999999999999</c:v>
                </c:pt>
                <c:pt idx="26">
                  <c:v>162.30000000000001</c:v>
                </c:pt>
                <c:pt idx="27">
                  <c:v>165.8</c:v>
                </c:pt>
                <c:pt idx="28">
                  <c:v>166.3</c:v>
                </c:pt>
                <c:pt idx="29">
                  <c:v>167</c:v>
                </c:pt>
                <c:pt idx="30">
                  <c:v>168.4</c:v>
                </c:pt>
                <c:pt idx="31">
                  <c:v>168.4</c:v>
                </c:pt>
                <c:pt idx="32">
                  <c:v>169.1</c:v>
                </c:pt>
                <c:pt idx="33">
                  <c:v>169.9</c:v>
                </c:pt>
                <c:pt idx="34">
                  <c:v>170.6</c:v>
                </c:pt>
              </c:numCache>
            </c:numRef>
          </c:val>
          <c:smooth val="0"/>
          <c:extLst>
            <c:ext xmlns:c16="http://schemas.microsoft.com/office/drawing/2014/chart" uri="{C3380CC4-5D6E-409C-BE32-E72D297353CC}">
              <c16:uniqueId val="{00000001-F553-4171-ADCE-4F5B0A29883A}"/>
            </c:ext>
          </c:extLst>
        </c:ser>
        <c:ser>
          <c:idx val="2"/>
          <c:order val="2"/>
          <c:tx>
            <c:strRef>
              <c:f>COVID_Impact!$G$3</c:f>
              <c:strCache>
                <c:ptCount val="1"/>
                <c:pt idx="0">
                  <c:v>Food &amp; Bev Index</c:v>
                </c:pt>
              </c:strCache>
            </c:strRef>
          </c:tx>
          <c:spPr>
            <a:ln w="28575" cap="rnd">
              <a:solidFill>
                <a:schemeClr val="accent3"/>
              </a:solidFill>
              <a:round/>
            </a:ln>
            <a:effectLst/>
          </c:spPr>
          <c:marker>
            <c:symbol val="none"/>
          </c:marker>
          <c:cat>
            <c:strRef>
              <c:f>COVID_Impact!$A$4:$A$38</c:f>
              <c:strCache>
                <c:ptCount val="35"/>
                <c:pt idx="0">
                  <c:v>2019 January</c:v>
                </c:pt>
                <c:pt idx="1">
                  <c:v>2019 February</c:v>
                </c:pt>
                <c:pt idx="2">
                  <c:v>2019 March</c:v>
                </c:pt>
                <c:pt idx="3">
                  <c:v>2019 May</c:v>
                </c:pt>
                <c:pt idx="4">
                  <c:v>2019 June</c:v>
                </c:pt>
                <c:pt idx="5">
                  <c:v>2019 July</c:v>
                </c:pt>
                <c:pt idx="6">
                  <c:v>2019 August</c:v>
                </c:pt>
                <c:pt idx="7">
                  <c:v>2019 September</c:v>
                </c:pt>
                <c:pt idx="8">
                  <c:v>2019 October</c:v>
                </c:pt>
                <c:pt idx="9">
                  <c:v>2019 November</c:v>
                </c:pt>
                <c:pt idx="10">
                  <c:v>2019 December</c:v>
                </c:pt>
                <c:pt idx="11">
                  <c:v>2020 January</c:v>
                </c:pt>
                <c:pt idx="12">
                  <c:v>2020 February</c:v>
                </c:pt>
                <c:pt idx="13">
                  <c:v>2020 March</c:v>
                </c:pt>
                <c:pt idx="14">
                  <c:v>2020 April</c:v>
                </c:pt>
                <c:pt idx="15">
                  <c:v>2020 May</c:v>
                </c:pt>
                <c:pt idx="16">
                  <c:v>2020 June</c:v>
                </c:pt>
                <c:pt idx="17">
                  <c:v>2020 July</c:v>
                </c:pt>
                <c:pt idx="18">
                  <c:v>2020 August</c:v>
                </c:pt>
                <c:pt idx="19">
                  <c:v>2020 September</c:v>
                </c:pt>
                <c:pt idx="20">
                  <c:v>2020 October</c:v>
                </c:pt>
                <c:pt idx="21">
                  <c:v>2020 November</c:v>
                </c:pt>
                <c:pt idx="22">
                  <c:v>2020 December</c:v>
                </c:pt>
                <c:pt idx="23">
                  <c:v>2021 January</c:v>
                </c:pt>
                <c:pt idx="24">
                  <c:v>2021 February</c:v>
                </c:pt>
                <c:pt idx="25">
                  <c:v>2021 March</c:v>
                </c:pt>
                <c:pt idx="26">
                  <c:v>2021 April</c:v>
                </c:pt>
                <c:pt idx="27">
                  <c:v>2021 May</c:v>
                </c:pt>
                <c:pt idx="28">
                  <c:v>2021 June</c:v>
                </c:pt>
                <c:pt idx="29">
                  <c:v>2021 July</c:v>
                </c:pt>
                <c:pt idx="30">
                  <c:v>2021 August</c:v>
                </c:pt>
                <c:pt idx="31">
                  <c:v>2021 September</c:v>
                </c:pt>
                <c:pt idx="32">
                  <c:v>2021 October</c:v>
                </c:pt>
                <c:pt idx="33">
                  <c:v>2021 November</c:v>
                </c:pt>
                <c:pt idx="34">
                  <c:v>2021 December</c:v>
                </c:pt>
              </c:strCache>
            </c:strRef>
          </c:cat>
          <c:val>
            <c:numRef>
              <c:f>COVID_Impact!$G$4:$G$38</c:f>
              <c:numCache>
                <c:formatCode>General</c:formatCode>
                <c:ptCount val="35"/>
                <c:pt idx="0">
                  <c:v>137.4</c:v>
                </c:pt>
                <c:pt idx="1">
                  <c:v>137.5</c:v>
                </c:pt>
                <c:pt idx="2">
                  <c:v>138.1</c:v>
                </c:pt>
                <c:pt idx="3">
                  <c:v>140.9</c:v>
                </c:pt>
                <c:pt idx="4">
                  <c:v>142.69999999999999</c:v>
                </c:pt>
                <c:pt idx="5">
                  <c:v>144.69999999999999</c:v>
                </c:pt>
                <c:pt idx="6">
                  <c:v>145.9</c:v>
                </c:pt>
                <c:pt idx="7">
                  <c:v>147</c:v>
                </c:pt>
                <c:pt idx="8">
                  <c:v>149.6</c:v>
                </c:pt>
                <c:pt idx="9">
                  <c:v>151.9</c:v>
                </c:pt>
                <c:pt idx="10">
                  <c:v>155</c:v>
                </c:pt>
                <c:pt idx="11">
                  <c:v>153.5</c:v>
                </c:pt>
                <c:pt idx="12">
                  <c:v>150.5</c:v>
                </c:pt>
                <c:pt idx="13">
                  <c:v>148.9</c:v>
                </c:pt>
                <c:pt idx="14">
                  <c:v>149.5</c:v>
                </c:pt>
                <c:pt idx="15">
                  <c:v>149.5</c:v>
                </c:pt>
                <c:pt idx="16">
                  <c:v>154</c:v>
                </c:pt>
                <c:pt idx="17">
                  <c:v>154</c:v>
                </c:pt>
                <c:pt idx="18">
                  <c:v>157</c:v>
                </c:pt>
                <c:pt idx="19">
                  <c:v>158</c:v>
                </c:pt>
                <c:pt idx="20">
                  <c:v>161.4</c:v>
                </c:pt>
                <c:pt idx="21">
                  <c:v>164.7</c:v>
                </c:pt>
                <c:pt idx="22">
                  <c:v>165.4</c:v>
                </c:pt>
                <c:pt idx="23">
                  <c:v>161</c:v>
                </c:pt>
                <c:pt idx="24">
                  <c:v>156.9</c:v>
                </c:pt>
                <c:pt idx="25">
                  <c:v>156.69999999999999</c:v>
                </c:pt>
                <c:pt idx="26">
                  <c:v>158</c:v>
                </c:pt>
                <c:pt idx="27">
                  <c:v>160.69999999999999</c:v>
                </c:pt>
                <c:pt idx="28">
                  <c:v>162.6</c:v>
                </c:pt>
                <c:pt idx="29">
                  <c:v>164</c:v>
                </c:pt>
                <c:pt idx="30">
                  <c:v>164</c:v>
                </c:pt>
                <c:pt idx="31">
                  <c:v>164</c:v>
                </c:pt>
                <c:pt idx="32">
                  <c:v>167.7</c:v>
                </c:pt>
                <c:pt idx="33">
                  <c:v>169.7</c:v>
                </c:pt>
                <c:pt idx="34">
                  <c:v>168.2</c:v>
                </c:pt>
              </c:numCache>
            </c:numRef>
          </c:val>
          <c:smooth val="0"/>
          <c:extLst>
            <c:ext xmlns:c16="http://schemas.microsoft.com/office/drawing/2014/chart" uri="{C3380CC4-5D6E-409C-BE32-E72D297353CC}">
              <c16:uniqueId val="{00000002-F553-4171-ADCE-4F5B0A29883A}"/>
            </c:ext>
          </c:extLst>
        </c:ser>
        <c:ser>
          <c:idx val="3"/>
          <c:order val="3"/>
          <c:tx>
            <c:strRef>
              <c:f>COVID_Impact!$I$3</c:f>
              <c:strCache>
                <c:ptCount val="1"/>
                <c:pt idx="0">
                  <c:v>Fuel &amp; Light</c:v>
                </c:pt>
              </c:strCache>
            </c:strRef>
          </c:tx>
          <c:spPr>
            <a:ln w="28575" cap="rnd">
              <a:solidFill>
                <a:schemeClr val="accent4"/>
              </a:solidFill>
              <a:round/>
            </a:ln>
            <a:effectLst/>
          </c:spPr>
          <c:marker>
            <c:symbol val="none"/>
          </c:marker>
          <c:cat>
            <c:strRef>
              <c:f>COVID_Impact!$A$4:$A$38</c:f>
              <c:strCache>
                <c:ptCount val="35"/>
                <c:pt idx="0">
                  <c:v>2019 January</c:v>
                </c:pt>
                <c:pt idx="1">
                  <c:v>2019 February</c:v>
                </c:pt>
                <c:pt idx="2">
                  <c:v>2019 March</c:v>
                </c:pt>
                <c:pt idx="3">
                  <c:v>2019 May</c:v>
                </c:pt>
                <c:pt idx="4">
                  <c:v>2019 June</c:v>
                </c:pt>
                <c:pt idx="5">
                  <c:v>2019 July</c:v>
                </c:pt>
                <c:pt idx="6">
                  <c:v>2019 August</c:v>
                </c:pt>
                <c:pt idx="7">
                  <c:v>2019 September</c:v>
                </c:pt>
                <c:pt idx="8">
                  <c:v>2019 October</c:v>
                </c:pt>
                <c:pt idx="9">
                  <c:v>2019 November</c:v>
                </c:pt>
                <c:pt idx="10">
                  <c:v>2019 December</c:v>
                </c:pt>
                <c:pt idx="11">
                  <c:v>2020 January</c:v>
                </c:pt>
                <c:pt idx="12">
                  <c:v>2020 February</c:v>
                </c:pt>
                <c:pt idx="13">
                  <c:v>2020 March</c:v>
                </c:pt>
                <c:pt idx="14">
                  <c:v>2020 April</c:v>
                </c:pt>
                <c:pt idx="15">
                  <c:v>2020 May</c:v>
                </c:pt>
                <c:pt idx="16">
                  <c:v>2020 June</c:v>
                </c:pt>
                <c:pt idx="17">
                  <c:v>2020 July</c:v>
                </c:pt>
                <c:pt idx="18">
                  <c:v>2020 August</c:v>
                </c:pt>
                <c:pt idx="19">
                  <c:v>2020 September</c:v>
                </c:pt>
                <c:pt idx="20">
                  <c:v>2020 October</c:v>
                </c:pt>
                <c:pt idx="21">
                  <c:v>2020 November</c:v>
                </c:pt>
                <c:pt idx="22">
                  <c:v>2020 December</c:v>
                </c:pt>
                <c:pt idx="23">
                  <c:v>2021 January</c:v>
                </c:pt>
                <c:pt idx="24">
                  <c:v>2021 February</c:v>
                </c:pt>
                <c:pt idx="25">
                  <c:v>2021 March</c:v>
                </c:pt>
                <c:pt idx="26">
                  <c:v>2021 April</c:v>
                </c:pt>
                <c:pt idx="27">
                  <c:v>2021 May</c:v>
                </c:pt>
                <c:pt idx="28">
                  <c:v>2021 June</c:v>
                </c:pt>
                <c:pt idx="29">
                  <c:v>2021 July</c:v>
                </c:pt>
                <c:pt idx="30">
                  <c:v>2021 August</c:v>
                </c:pt>
                <c:pt idx="31">
                  <c:v>2021 September</c:v>
                </c:pt>
                <c:pt idx="32">
                  <c:v>2021 October</c:v>
                </c:pt>
                <c:pt idx="33">
                  <c:v>2021 November</c:v>
                </c:pt>
                <c:pt idx="34">
                  <c:v>2021 December</c:v>
                </c:pt>
              </c:strCache>
            </c:strRef>
          </c:cat>
          <c:val>
            <c:numRef>
              <c:f>COVID_Impact!$I$4:$I$38</c:f>
              <c:numCache>
                <c:formatCode>General</c:formatCode>
                <c:ptCount val="35"/>
                <c:pt idx="0">
                  <c:v>139.5</c:v>
                </c:pt>
                <c:pt idx="1">
                  <c:v>138.4</c:v>
                </c:pt>
                <c:pt idx="2">
                  <c:v>139.69999999999999</c:v>
                </c:pt>
                <c:pt idx="3">
                  <c:v>140.30000000000001</c:v>
                </c:pt>
                <c:pt idx="4">
                  <c:v>141.19999999999999</c:v>
                </c:pt>
                <c:pt idx="5">
                  <c:v>139.30000000000001</c:v>
                </c:pt>
                <c:pt idx="6">
                  <c:v>138.5</c:v>
                </c:pt>
                <c:pt idx="7">
                  <c:v>139.19999999999999</c:v>
                </c:pt>
                <c:pt idx="8">
                  <c:v>140.6</c:v>
                </c:pt>
                <c:pt idx="9">
                  <c:v>142.30000000000001</c:v>
                </c:pt>
                <c:pt idx="10">
                  <c:v>143.69999999999999</c:v>
                </c:pt>
                <c:pt idx="11">
                  <c:v>144.6</c:v>
                </c:pt>
                <c:pt idx="12">
                  <c:v>147.19999999999999</c:v>
                </c:pt>
                <c:pt idx="13">
                  <c:v>148.9</c:v>
                </c:pt>
                <c:pt idx="14">
                  <c:v>155.6</c:v>
                </c:pt>
                <c:pt idx="15">
                  <c:v>155.6</c:v>
                </c:pt>
                <c:pt idx="16">
                  <c:v>141.9</c:v>
                </c:pt>
                <c:pt idx="17">
                  <c:v>141.9</c:v>
                </c:pt>
                <c:pt idx="18">
                  <c:v>143</c:v>
                </c:pt>
                <c:pt idx="19">
                  <c:v>142.9</c:v>
                </c:pt>
                <c:pt idx="20">
                  <c:v>143.1</c:v>
                </c:pt>
                <c:pt idx="21">
                  <c:v>143.6</c:v>
                </c:pt>
                <c:pt idx="22">
                  <c:v>144.6</c:v>
                </c:pt>
                <c:pt idx="23">
                  <c:v>147.9</c:v>
                </c:pt>
                <c:pt idx="24">
                  <c:v>152.4</c:v>
                </c:pt>
                <c:pt idx="25">
                  <c:v>155.5</c:v>
                </c:pt>
                <c:pt idx="26">
                  <c:v>155.6</c:v>
                </c:pt>
                <c:pt idx="27">
                  <c:v>159.4</c:v>
                </c:pt>
                <c:pt idx="28">
                  <c:v>159.80000000000001</c:v>
                </c:pt>
                <c:pt idx="29">
                  <c:v>160.69999999999999</c:v>
                </c:pt>
                <c:pt idx="30">
                  <c:v>162.6</c:v>
                </c:pt>
                <c:pt idx="31">
                  <c:v>162.6</c:v>
                </c:pt>
                <c:pt idx="32">
                  <c:v>164.2</c:v>
                </c:pt>
                <c:pt idx="33">
                  <c:v>163.9</c:v>
                </c:pt>
                <c:pt idx="34">
                  <c:v>164.1</c:v>
                </c:pt>
              </c:numCache>
            </c:numRef>
          </c:val>
          <c:smooth val="0"/>
          <c:extLst>
            <c:ext xmlns:c16="http://schemas.microsoft.com/office/drawing/2014/chart" uri="{C3380CC4-5D6E-409C-BE32-E72D297353CC}">
              <c16:uniqueId val="{00000003-F553-4171-ADCE-4F5B0A29883A}"/>
            </c:ext>
          </c:extLst>
        </c:ser>
        <c:dLbls>
          <c:showLegendKey val="0"/>
          <c:showVal val="0"/>
          <c:showCatName val="0"/>
          <c:showSerName val="0"/>
          <c:showPercent val="0"/>
          <c:showBubbleSize val="0"/>
        </c:dLbls>
        <c:smooth val="0"/>
        <c:axId val="116363872"/>
        <c:axId val="116357632"/>
      </c:lineChart>
      <c:catAx>
        <c:axId val="11636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7632"/>
        <c:crosses val="autoZero"/>
        <c:auto val="1"/>
        <c:lblAlgn val="ctr"/>
        <c:lblOffset val="100"/>
        <c:noMultiLvlLbl val="0"/>
      </c:catAx>
      <c:valAx>
        <c:axId val="116357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Index</a:t>
                </a:r>
                <a:r>
                  <a:rPr lang="en-IN" baseline="0"/>
                  <a:t> Value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63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Q5 - Correlation of CPI Categories with Brent Crude Oil Price Changes (2021–2023)</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Oil_Correlation!$A$36</c:f>
              <c:strCache>
                <c:ptCount val="1"/>
                <c:pt idx="0">
                  <c:v>Oils &amp; Fats</c:v>
                </c:pt>
              </c:strCache>
            </c:strRef>
          </c:tx>
          <c:spPr>
            <a:solidFill>
              <a:schemeClr val="accent1"/>
            </a:solidFill>
            <a:ln>
              <a:noFill/>
            </a:ln>
            <a:effectLst/>
          </c:spPr>
          <c:invertIfNegative val="0"/>
          <c:cat>
            <c:strRef>
              <c:f>Oil_Correlation!$B$35</c:f>
              <c:strCache>
                <c:ptCount val="1"/>
                <c:pt idx="0">
                  <c:v>Correlation with Oil</c:v>
                </c:pt>
              </c:strCache>
            </c:strRef>
          </c:cat>
          <c:val>
            <c:numRef>
              <c:f>Oil_Correlation!$B$36</c:f>
              <c:numCache>
                <c:formatCode>0.000</c:formatCode>
                <c:ptCount val="1"/>
                <c:pt idx="0">
                  <c:v>0.47755972299676885</c:v>
                </c:pt>
              </c:numCache>
            </c:numRef>
          </c:val>
          <c:extLst>
            <c:ext xmlns:c16="http://schemas.microsoft.com/office/drawing/2014/chart" uri="{C3380CC4-5D6E-409C-BE32-E72D297353CC}">
              <c16:uniqueId val="{00000000-4793-49D8-AFF0-E948A93BCF46}"/>
            </c:ext>
          </c:extLst>
        </c:ser>
        <c:ser>
          <c:idx val="1"/>
          <c:order val="1"/>
          <c:tx>
            <c:strRef>
              <c:f>Oil_Correlation!$A$37</c:f>
              <c:strCache>
                <c:ptCount val="1"/>
                <c:pt idx="0">
                  <c:v>Fuel &amp; Light</c:v>
                </c:pt>
              </c:strCache>
            </c:strRef>
          </c:tx>
          <c:spPr>
            <a:solidFill>
              <a:schemeClr val="accent2"/>
            </a:solidFill>
            <a:ln>
              <a:noFill/>
            </a:ln>
            <a:effectLst/>
          </c:spPr>
          <c:invertIfNegative val="0"/>
          <c:cat>
            <c:strRef>
              <c:f>Oil_Correlation!$B$35</c:f>
              <c:strCache>
                <c:ptCount val="1"/>
                <c:pt idx="0">
                  <c:v>Correlation with Oil</c:v>
                </c:pt>
              </c:strCache>
            </c:strRef>
          </c:cat>
          <c:val>
            <c:numRef>
              <c:f>Oil_Correlation!$B$37</c:f>
              <c:numCache>
                <c:formatCode>0.000</c:formatCode>
                <c:ptCount val="1"/>
                <c:pt idx="0">
                  <c:v>0.5482018556524757</c:v>
                </c:pt>
              </c:numCache>
            </c:numRef>
          </c:val>
          <c:extLst>
            <c:ext xmlns:c16="http://schemas.microsoft.com/office/drawing/2014/chart" uri="{C3380CC4-5D6E-409C-BE32-E72D297353CC}">
              <c16:uniqueId val="{00000001-4793-49D8-AFF0-E948A93BCF46}"/>
            </c:ext>
          </c:extLst>
        </c:ser>
        <c:ser>
          <c:idx val="2"/>
          <c:order val="2"/>
          <c:tx>
            <c:strRef>
              <c:f>Oil_Correlation!$A$38</c:f>
              <c:strCache>
                <c:ptCount val="1"/>
                <c:pt idx="0">
                  <c:v>Transport</c:v>
                </c:pt>
              </c:strCache>
            </c:strRef>
          </c:tx>
          <c:spPr>
            <a:solidFill>
              <a:schemeClr val="accent3"/>
            </a:solidFill>
            <a:ln>
              <a:noFill/>
            </a:ln>
            <a:effectLst/>
          </c:spPr>
          <c:invertIfNegative val="0"/>
          <c:cat>
            <c:strRef>
              <c:f>Oil_Correlation!$B$35</c:f>
              <c:strCache>
                <c:ptCount val="1"/>
                <c:pt idx="0">
                  <c:v>Correlation with Oil</c:v>
                </c:pt>
              </c:strCache>
            </c:strRef>
          </c:cat>
          <c:val>
            <c:numRef>
              <c:f>Oil_Correlation!$B$38</c:f>
              <c:numCache>
                <c:formatCode>0.000</c:formatCode>
                <c:ptCount val="1"/>
                <c:pt idx="0">
                  <c:v>0.45408940921483831</c:v>
                </c:pt>
              </c:numCache>
            </c:numRef>
          </c:val>
          <c:extLst>
            <c:ext xmlns:c16="http://schemas.microsoft.com/office/drawing/2014/chart" uri="{C3380CC4-5D6E-409C-BE32-E72D297353CC}">
              <c16:uniqueId val="{00000002-4793-49D8-AFF0-E948A93BCF46}"/>
            </c:ext>
          </c:extLst>
        </c:ser>
        <c:ser>
          <c:idx val="3"/>
          <c:order val="3"/>
          <c:tx>
            <c:strRef>
              <c:f>Oil_Correlation!$A$39</c:f>
              <c:strCache>
                <c:ptCount val="1"/>
                <c:pt idx="0">
                  <c:v>Health</c:v>
                </c:pt>
              </c:strCache>
            </c:strRef>
          </c:tx>
          <c:spPr>
            <a:solidFill>
              <a:schemeClr val="accent4"/>
            </a:solidFill>
            <a:ln>
              <a:noFill/>
            </a:ln>
            <a:effectLst/>
          </c:spPr>
          <c:invertIfNegative val="0"/>
          <c:cat>
            <c:strRef>
              <c:f>Oil_Correlation!$B$35</c:f>
              <c:strCache>
                <c:ptCount val="1"/>
                <c:pt idx="0">
                  <c:v>Correlation with Oil</c:v>
                </c:pt>
              </c:strCache>
            </c:strRef>
          </c:cat>
          <c:val>
            <c:numRef>
              <c:f>Oil_Correlation!$B$39</c:f>
              <c:numCache>
                <c:formatCode>0.000</c:formatCode>
                <c:ptCount val="1"/>
                <c:pt idx="0">
                  <c:v>-3.9727377969631578E-2</c:v>
                </c:pt>
              </c:numCache>
            </c:numRef>
          </c:val>
          <c:extLst>
            <c:ext xmlns:c16="http://schemas.microsoft.com/office/drawing/2014/chart" uri="{C3380CC4-5D6E-409C-BE32-E72D297353CC}">
              <c16:uniqueId val="{00000003-4793-49D8-AFF0-E948A93BCF46}"/>
            </c:ext>
          </c:extLst>
        </c:ser>
        <c:ser>
          <c:idx val="4"/>
          <c:order val="4"/>
          <c:tx>
            <c:strRef>
              <c:f>Oil_Correlation!$A$40</c:f>
              <c:strCache>
                <c:ptCount val="1"/>
                <c:pt idx="0">
                  <c:v>Food and Beverage</c:v>
                </c:pt>
              </c:strCache>
            </c:strRef>
          </c:tx>
          <c:spPr>
            <a:solidFill>
              <a:schemeClr val="accent5"/>
            </a:solidFill>
            <a:ln>
              <a:noFill/>
            </a:ln>
            <a:effectLst/>
          </c:spPr>
          <c:invertIfNegative val="0"/>
          <c:cat>
            <c:strRef>
              <c:f>Oil_Correlation!$B$35</c:f>
              <c:strCache>
                <c:ptCount val="1"/>
                <c:pt idx="0">
                  <c:v>Correlation with Oil</c:v>
                </c:pt>
              </c:strCache>
            </c:strRef>
          </c:cat>
          <c:val>
            <c:numRef>
              <c:f>Oil_Correlation!$B$40</c:f>
              <c:numCache>
                <c:formatCode>0.000</c:formatCode>
                <c:ptCount val="1"/>
                <c:pt idx="0">
                  <c:v>0.26859762248526486</c:v>
                </c:pt>
              </c:numCache>
            </c:numRef>
          </c:val>
          <c:extLst>
            <c:ext xmlns:c16="http://schemas.microsoft.com/office/drawing/2014/chart" uri="{C3380CC4-5D6E-409C-BE32-E72D297353CC}">
              <c16:uniqueId val="{00000004-4793-49D8-AFF0-E948A93BCF46}"/>
            </c:ext>
          </c:extLst>
        </c:ser>
        <c:ser>
          <c:idx val="5"/>
          <c:order val="5"/>
          <c:tx>
            <c:strRef>
              <c:f>Oil_Correlation!$A$41</c:f>
              <c:strCache>
                <c:ptCount val="1"/>
                <c:pt idx="0">
                  <c:v>Cereals</c:v>
                </c:pt>
              </c:strCache>
            </c:strRef>
          </c:tx>
          <c:spPr>
            <a:solidFill>
              <a:schemeClr val="accent6"/>
            </a:solidFill>
            <a:ln>
              <a:noFill/>
            </a:ln>
            <a:effectLst/>
          </c:spPr>
          <c:invertIfNegative val="0"/>
          <c:cat>
            <c:strRef>
              <c:f>Oil_Correlation!$B$35</c:f>
              <c:strCache>
                <c:ptCount val="1"/>
                <c:pt idx="0">
                  <c:v>Correlation with Oil</c:v>
                </c:pt>
              </c:strCache>
            </c:strRef>
          </c:cat>
          <c:val>
            <c:numRef>
              <c:f>Oil_Correlation!$B$41</c:f>
              <c:numCache>
                <c:formatCode>0.000</c:formatCode>
                <c:ptCount val="1"/>
                <c:pt idx="0">
                  <c:v>-0.27636163288510346</c:v>
                </c:pt>
              </c:numCache>
            </c:numRef>
          </c:val>
          <c:extLst>
            <c:ext xmlns:c16="http://schemas.microsoft.com/office/drawing/2014/chart" uri="{C3380CC4-5D6E-409C-BE32-E72D297353CC}">
              <c16:uniqueId val="{00000005-4793-49D8-AFF0-E948A93BCF46}"/>
            </c:ext>
          </c:extLst>
        </c:ser>
        <c:ser>
          <c:idx val="6"/>
          <c:order val="6"/>
          <c:tx>
            <c:strRef>
              <c:f>Oil_Correlation!$A$42</c:f>
              <c:strCache>
                <c:ptCount val="1"/>
                <c:pt idx="0">
                  <c:v>General Index</c:v>
                </c:pt>
              </c:strCache>
            </c:strRef>
          </c:tx>
          <c:spPr>
            <a:solidFill>
              <a:schemeClr val="accent1">
                <a:lumMod val="60000"/>
              </a:schemeClr>
            </a:solidFill>
            <a:ln>
              <a:noFill/>
            </a:ln>
            <a:effectLst/>
          </c:spPr>
          <c:invertIfNegative val="0"/>
          <c:cat>
            <c:strRef>
              <c:f>Oil_Correlation!$B$35</c:f>
              <c:strCache>
                <c:ptCount val="1"/>
                <c:pt idx="0">
                  <c:v>Correlation with Oil</c:v>
                </c:pt>
              </c:strCache>
            </c:strRef>
          </c:cat>
          <c:val>
            <c:numRef>
              <c:f>Oil_Correlation!$B$42</c:f>
              <c:numCache>
                <c:formatCode>0.000</c:formatCode>
                <c:ptCount val="1"/>
                <c:pt idx="0">
                  <c:v>1.9185491413410891E-2</c:v>
                </c:pt>
              </c:numCache>
            </c:numRef>
          </c:val>
          <c:extLst>
            <c:ext xmlns:c16="http://schemas.microsoft.com/office/drawing/2014/chart" uri="{C3380CC4-5D6E-409C-BE32-E72D297353CC}">
              <c16:uniqueId val="{00000006-4793-49D8-AFF0-E948A93BCF46}"/>
            </c:ext>
          </c:extLst>
        </c:ser>
        <c:dLbls>
          <c:showLegendKey val="0"/>
          <c:showVal val="0"/>
          <c:showCatName val="0"/>
          <c:showSerName val="0"/>
          <c:showPercent val="0"/>
          <c:showBubbleSize val="0"/>
        </c:dLbls>
        <c:gapWidth val="182"/>
        <c:axId val="1525822847"/>
        <c:axId val="1525823807"/>
      </c:barChart>
      <c:catAx>
        <c:axId val="152582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823807"/>
        <c:crosses val="autoZero"/>
        <c:auto val="1"/>
        <c:lblAlgn val="ctr"/>
        <c:lblOffset val="100"/>
        <c:noMultiLvlLbl val="0"/>
      </c:catAx>
      <c:valAx>
        <c:axId val="1525823807"/>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822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CPI Basket Contribution % by Category (May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tx>
            <c:strRef>
              <c:f>CPI_Basket!$C$4</c:f>
              <c:strCache>
                <c:ptCount val="1"/>
                <c:pt idx="0">
                  <c:v>Contribution %</c:v>
                </c:pt>
              </c:strCache>
            </c:strRef>
          </c:tx>
          <c:spPr>
            <a:solidFill>
              <a:schemeClr val="accent1"/>
            </a:solidFill>
            <a:ln>
              <a:noFill/>
            </a:ln>
            <a:effectLst/>
          </c:spPr>
          <c:invertIfNegative val="0"/>
          <c:cat>
            <c:strRef>
              <c:f>CPI_Basket!$A$5:$A$16</c:f>
              <c:strCache>
                <c:ptCount val="12"/>
                <c:pt idx="0">
                  <c:v>Food</c:v>
                </c:pt>
                <c:pt idx="1">
                  <c:v>Clothing &amp; Footwear</c:v>
                </c:pt>
                <c:pt idx="2">
                  <c:v>Housing</c:v>
                </c:pt>
                <c:pt idx="3">
                  <c:v>Energy</c:v>
                </c:pt>
                <c:pt idx="4">
                  <c:v>Healthcare</c:v>
                </c:pt>
                <c:pt idx="5">
                  <c:v>Transport &amp; Communication</c:v>
                </c:pt>
                <c:pt idx="6">
                  <c:v>Education</c:v>
                </c:pt>
                <c:pt idx="7">
                  <c:v>Recreation</c:v>
                </c:pt>
                <c:pt idx="8">
                  <c:v>Personal Care</c:v>
                </c:pt>
                <c:pt idx="9">
                  <c:v>Household Goods</c:v>
                </c:pt>
                <c:pt idx="10">
                  <c:v>Tobacco &amp; Intoxicants</c:v>
                </c:pt>
                <c:pt idx="11">
                  <c:v>Miscellaneous</c:v>
                </c:pt>
              </c:strCache>
            </c:strRef>
          </c:cat>
          <c:val>
            <c:numRef>
              <c:f>CPI_Basket!$C$5:$C$16</c:f>
              <c:numCache>
                <c:formatCode>0.00%</c:formatCode>
                <c:ptCount val="12"/>
                <c:pt idx="0">
                  <c:v>8.2301105957902257E-2</c:v>
                </c:pt>
                <c:pt idx="1">
                  <c:v>8.5522654298965398E-2</c:v>
                </c:pt>
                <c:pt idx="2">
                  <c:v>8.1441312879058148E-2</c:v>
                </c:pt>
                <c:pt idx="3">
                  <c:v>8.4780592222618634E-2</c:v>
                </c:pt>
                <c:pt idx="4">
                  <c:v>8.6125579735997146E-2</c:v>
                </c:pt>
                <c:pt idx="5">
                  <c:v>7.6432393863717446E-2</c:v>
                </c:pt>
                <c:pt idx="6">
                  <c:v>8.213699607563324E-2</c:v>
                </c:pt>
                <c:pt idx="7">
                  <c:v>7.9400642169104529E-2</c:v>
                </c:pt>
                <c:pt idx="8">
                  <c:v>8.5893685337138773E-2</c:v>
                </c:pt>
                <c:pt idx="9">
                  <c:v>8.1255797359971446E-2</c:v>
                </c:pt>
                <c:pt idx="10">
                  <c:v>9.3221548341063151E-2</c:v>
                </c:pt>
                <c:pt idx="11">
                  <c:v>8.1487691758829819E-2</c:v>
                </c:pt>
              </c:numCache>
            </c:numRef>
          </c:val>
          <c:extLst>
            <c:ext xmlns:c16="http://schemas.microsoft.com/office/drawing/2014/chart" uri="{C3380CC4-5D6E-409C-BE32-E72D297353CC}">
              <c16:uniqueId val="{00000000-C903-4343-B3BB-C98A74637250}"/>
            </c:ext>
          </c:extLst>
        </c:ser>
        <c:dLbls>
          <c:showLegendKey val="0"/>
          <c:showVal val="0"/>
          <c:showCatName val="0"/>
          <c:showSerName val="0"/>
          <c:showPercent val="0"/>
          <c:showBubbleSize val="0"/>
        </c:dLbls>
        <c:gapWidth val="182"/>
        <c:axId val="301063696"/>
        <c:axId val="301060816"/>
      </c:barChart>
      <c:catAx>
        <c:axId val="3010636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1"/>
                  <a:t>Contributuon</a:t>
                </a:r>
                <a:r>
                  <a:rPr lang="en-IN" b="1" baseline="0"/>
                  <a:t> %</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1060816"/>
        <c:crosses val="autoZero"/>
        <c:auto val="1"/>
        <c:lblAlgn val="ctr"/>
        <c:lblOffset val="100"/>
        <c:noMultiLvlLbl val="0"/>
      </c:catAx>
      <c:valAx>
        <c:axId val="301060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1"/>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106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Year-on-Year CPI Inflation Rate (Rural+Urban), 2017–2023</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16169274167831824"/>
          <c:y val="0.25381188118811887"/>
          <c:w val="0.66476140015208385"/>
          <c:h val="0.52676580650191007"/>
        </c:manualLayout>
      </c:layout>
      <c:scatterChart>
        <c:scatterStyle val="smoothMarker"/>
        <c:varyColors val="0"/>
        <c:ser>
          <c:idx val="0"/>
          <c:order val="0"/>
          <c:tx>
            <c:strRef>
              <c:f>'YOY_Inflation '!$D$3</c:f>
              <c:strCache>
                <c:ptCount val="1"/>
                <c:pt idx="0">
                  <c:v>YoY Rate</c:v>
                </c:pt>
              </c:strCache>
            </c:strRef>
          </c:tx>
          <c:spPr>
            <a:ln w="19050" cap="rnd">
              <a:solidFill>
                <a:schemeClr val="accent1"/>
              </a:solidFill>
              <a:round/>
            </a:ln>
            <a:effectLst/>
          </c:spPr>
          <c:marker>
            <c:symbol val="circle"/>
            <c:size val="5"/>
            <c:spPr>
              <a:solidFill>
                <a:srgbClr val="FFFFFF"/>
              </a:solidFill>
              <a:ln w="9525">
                <a:solidFill>
                  <a:schemeClr val="accent1"/>
                </a:solidFill>
              </a:ln>
              <a:effectLst/>
            </c:spPr>
          </c:marker>
          <c:xVal>
            <c:numRef>
              <c:f>'YOY_Inflation '!$A$4:$A$10</c:f>
              <c:numCache>
                <c:formatCode>General</c:formatCode>
                <c:ptCount val="7"/>
                <c:pt idx="0">
                  <c:v>2017</c:v>
                </c:pt>
                <c:pt idx="1">
                  <c:v>2018</c:v>
                </c:pt>
                <c:pt idx="2">
                  <c:v>2019</c:v>
                </c:pt>
                <c:pt idx="3">
                  <c:v>2020</c:v>
                </c:pt>
                <c:pt idx="4">
                  <c:v>2021</c:v>
                </c:pt>
                <c:pt idx="5">
                  <c:v>2022</c:v>
                </c:pt>
                <c:pt idx="6">
                  <c:v>2023</c:v>
                </c:pt>
              </c:numCache>
            </c:numRef>
          </c:xVal>
          <c:yVal>
            <c:numRef>
              <c:f>'YOY_Inflation '!$D$4:$D$10</c:f>
              <c:numCache>
                <c:formatCode>0.00%</c:formatCode>
                <c:ptCount val="7"/>
                <c:pt idx="0">
                  <c:v>5.295471987720627E-2</c:v>
                </c:pt>
                <c:pt idx="1">
                  <c:v>2.3374726077428697E-2</c:v>
                </c:pt>
                <c:pt idx="2">
                  <c:v>7.7363896848137617E-2</c:v>
                </c:pt>
                <c:pt idx="3">
                  <c:v>5.7922769640479481E-2</c:v>
                </c:pt>
                <c:pt idx="4">
                  <c:v>5.657978385251098E-2</c:v>
                </c:pt>
                <c:pt idx="5">
                  <c:v>6.0350030175015092E-2</c:v>
                </c:pt>
                <c:pt idx="6">
                  <c:v>1.4730878186968806E-2</c:v>
                </c:pt>
              </c:numCache>
            </c:numRef>
          </c:yVal>
          <c:smooth val="1"/>
          <c:extLst>
            <c:ext xmlns:c16="http://schemas.microsoft.com/office/drawing/2014/chart" uri="{C3380CC4-5D6E-409C-BE32-E72D297353CC}">
              <c16:uniqueId val="{00000000-2A8B-4BBF-BDAF-3B49683D4CB1}"/>
            </c:ext>
          </c:extLst>
        </c:ser>
        <c:dLbls>
          <c:showLegendKey val="0"/>
          <c:showVal val="0"/>
          <c:showCatName val="0"/>
          <c:showSerName val="0"/>
          <c:showPercent val="0"/>
          <c:showBubbleSize val="0"/>
        </c:dLbls>
        <c:axId val="2143083024"/>
        <c:axId val="2143083504"/>
      </c:scatterChart>
      <c:valAx>
        <c:axId val="2143083024"/>
        <c:scaling>
          <c:orientation val="minMax"/>
          <c:max val="2023"/>
          <c:min val="2017"/>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083504"/>
        <c:crosses val="autoZero"/>
        <c:crossBetween val="midCat"/>
      </c:valAx>
      <c:valAx>
        <c:axId val="21430835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Inflation Rate</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083024"/>
        <c:crosses val="autoZero"/>
        <c:crossBetween val="midCat"/>
        <c:majorUnit val="1.0000000000000002E-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Food Avg Index — Jun 2022 to May 2023</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v>Food Avg Index</c:v>
          </c:tx>
          <c:spPr>
            <a:ln w="28575" cap="rnd">
              <a:solidFill>
                <a:schemeClr val="accent1"/>
              </a:solidFill>
              <a:round/>
            </a:ln>
            <a:effectLst/>
          </c:spPr>
          <c:marker>
            <c:symbol val="none"/>
          </c:marker>
          <c:cat>
            <c:strRef>
              <c:f>Food_Inflation!$A$5:$A$16</c:f>
              <c:strCache>
                <c:ptCount val="12"/>
                <c:pt idx="0">
                  <c:v>2022 June</c:v>
                </c:pt>
                <c:pt idx="1">
                  <c:v>2022 July</c:v>
                </c:pt>
                <c:pt idx="2">
                  <c:v>2022 August</c:v>
                </c:pt>
                <c:pt idx="3">
                  <c:v>2022 September</c:v>
                </c:pt>
                <c:pt idx="4">
                  <c:v>2022 October</c:v>
                </c:pt>
                <c:pt idx="5">
                  <c:v>2022 November</c:v>
                </c:pt>
                <c:pt idx="6">
                  <c:v>2022 December</c:v>
                </c:pt>
                <c:pt idx="7">
                  <c:v>2023 January</c:v>
                </c:pt>
                <c:pt idx="8">
                  <c:v>2023 February</c:v>
                </c:pt>
                <c:pt idx="9">
                  <c:v>2023 March</c:v>
                </c:pt>
                <c:pt idx="10">
                  <c:v>2023 April</c:v>
                </c:pt>
                <c:pt idx="11">
                  <c:v>2023 May</c:v>
                </c:pt>
              </c:strCache>
            </c:strRef>
          </c:cat>
          <c:val>
            <c:numRef>
              <c:f>Food_Inflation!$B$5:$B$16</c:f>
              <c:numCache>
                <c:formatCode>0.00</c:formatCode>
                <c:ptCount val="12"/>
                <c:pt idx="0">
                  <c:v>173.91666666666666</c:v>
                </c:pt>
                <c:pt idx="1">
                  <c:v>174.27500000000001</c:v>
                </c:pt>
                <c:pt idx="2">
                  <c:v>174.40833333333333</c:v>
                </c:pt>
                <c:pt idx="3">
                  <c:v>175.25833333333333</c:v>
                </c:pt>
                <c:pt idx="4">
                  <c:v>176.47500000000002</c:v>
                </c:pt>
                <c:pt idx="5">
                  <c:v>176.54166666666666</c:v>
                </c:pt>
                <c:pt idx="6">
                  <c:v>175.625</c:v>
                </c:pt>
                <c:pt idx="7">
                  <c:v>176.33333333333334</c:v>
                </c:pt>
                <c:pt idx="8">
                  <c:v>175.17499999999998</c:v>
                </c:pt>
                <c:pt idx="9">
                  <c:v>175.18333333333331</c:v>
                </c:pt>
                <c:pt idx="10">
                  <c:v>175.97500000000002</c:v>
                </c:pt>
                <c:pt idx="11">
                  <c:v>177.31666666666669</c:v>
                </c:pt>
              </c:numCache>
            </c:numRef>
          </c:val>
          <c:smooth val="0"/>
          <c:extLst>
            <c:ext xmlns:c16="http://schemas.microsoft.com/office/drawing/2014/chart" uri="{C3380CC4-5D6E-409C-BE32-E72D297353CC}">
              <c16:uniqueId val="{00000000-AF2B-4469-8137-2F86ACB3A326}"/>
            </c:ext>
          </c:extLst>
        </c:ser>
        <c:dLbls>
          <c:showLegendKey val="0"/>
          <c:showVal val="0"/>
          <c:showCatName val="0"/>
          <c:showSerName val="0"/>
          <c:showPercent val="0"/>
          <c:showBubbleSize val="0"/>
        </c:dLbls>
        <c:smooth val="0"/>
        <c:axId val="2123450048"/>
        <c:axId val="2123450528"/>
      </c:lineChart>
      <c:catAx>
        <c:axId val="212345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450528"/>
        <c:crosses val="autoZero"/>
        <c:auto val="1"/>
        <c:lblAlgn val="ctr"/>
        <c:lblOffset val="100"/>
        <c:noMultiLvlLbl val="0"/>
      </c:catAx>
      <c:valAx>
        <c:axId val="21234505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Food </a:t>
                </a:r>
                <a:r>
                  <a:rPr lang="en-IN" baseline="0"/>
                  <a:t>Index Value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45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 baseline="0">
                <a:solidFill>
                  <a:srgbClr val="000000"/>
                </a:solidFill>
                <a:latin typeface="Calibri"/>
              </a:rPr>
              <a:t>CPI Trend Around COVID-19 (2019–2021)</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strRef>
              <c:f>COVID_Impact!$C$3</c:f>
              <c:strCache>
                <c:ptCount val="1"/>
                <c:pt idx="0">
                  <c:v>General Index</c:v>
                </c:pt>
              </c:strCache>
            </c:strRef>
          </c:tx>
          <c:spPr>
            <a:ln w="28575" cap="rnd">
              <a:solidFill>
                <a:schemeClr val="accent1"/>
              </a:solidFill>
              <a:round/>
            </a:ln>
            <a:effectLst/>
          </c:spPr>
          <c:marker>
            <c:symbol val="none"/>
          </c:marker>
          <c:cat>
            <c:strRef>
              <c:f>COVID_Impact!$A$4:$A$38</c:f>
              <c:strCache>
                <c:ptCount val="35"/>
                <c:pt idx="0">
                  <c:v>2019 January</c:v>
                </c:pt>
                <c:pt idx="1">
                  <c:v>2019 February</c:v>
                </c:pt>
                <c:pt idx="2">
                  <c:v>2019 March</c:v>
                </c:pt>
                <c:pt idx="3">
                  <c:v>2019 May</c:v>
                </c:pt>
                <c:pt idx="4">
                  <c:v>2019 June</c:v>
                </c:pt>
                <c:pt idx="5">
                  <c:v>2019 July</c:v>
                </c:pt>
                <c:pt idx="6">
                  <c:v>2019 August</c:v>
                </c:pt>
                <c:pt idx="7">
                  <c:v>2019 September</c:v>
                </c:pt>
                <c:pt idx="8">
                  <c:v>2019 October</c:v>
                </c:pt>
                <c:pt idx="9">
                  <c:v>2019 November</c:v>
                </c:pt>
                <c:pt idx="10">
                  <c:v>2019 December</c:v>
                </c:pt>
                <c:pt idx="11">
                  <c:v>2020 January</c:v>
                </c:pt>
                <c:pt idx="12">
                  <c:v>2020 February</c:v>
                </c:pt>
                <c:pt idx="13">
                  <c:v>2020 March</c:v>
                </c:pt>
                <c:pt idx="14">
                  <c:v>2020 April</c:v>
                </c:pt>
                <c:pt idx="15">
                  <c:v>2020 May</c:v>
                </c:pt>
                <c:pt idx="16">
                  <c:v>2020 June</c:v>
                </c:pt>
                <c:pt idx="17">
                  <c:v>2020 July</c:v>
                </c:pt>
                <c:pt idx="18">
                  <c:v>2020 August</c:v>
                </c:pt>
                <c:pt idx="19">
                  <c:v>2020 September</c:v>
                </c:pt>
                <c:pt idx="20">
                  <c:v>2020 October</c:v>
                </c:pt>
                <c:pt idx="21">
                  <c:v>2020 November</c:v>
                </c:pt>
                <c:pt idx="22">
                  <c:v>2020 December</c:v>
                </c:pt>
                <c:pt idx="23">
                  <c:v>2021 January</c:v>
                </c:pt>
                <c:pt idx="24">
                  <c:v>2021 February</c:v>
                </c:pt>
                <c:pt idx="25">
                  <c:v>2021 March</c:v>
                </c:pt>
                <c:pt idx="26">
                  <c:v>2021 April</c:v>
                </c:pt>
                <c:pt idx="27">
                  <c:v>2021 May</c:v>
                </c:pt>
                <c:pt idx="28">
                  <c:v>2021 June</c:v>
                </c:pt>
                <c:pt idx="29">
                  <c:v>2021 July</c:v>
                </c:pt>
                <c:pt idx="30">
                  <c:v>2021 August</c:v>
                </c:pt>
                <c:pt idx="31">
                  <c:v>2021 September</c:v>
                </c:pt>
                <c:pt idx="32">
                  <c:v>2021 October</c:v>
                </c:pt>
                <c:pt idx="33">
                  <c:v>2021 November</c:v>
                </c:pt>
                <c:pt idx="34">
                  <c:v>2021 December</c:v>
                </c:pt>
              </c:strCache>
            </c:strRef>
          </c:cat>
          <c:val>
            <c:numRef>
              <c:f>COVID_Impact!$C$4:$C$38</c:f>
              <c:numCache>
                <c:formatCode>General</c:formatCode>
                <c:ptCount val="35"/>
                <c:pt idx="0">
                  <c:v>139.6</c:v>
                </c:pt>
                <c:pt idx="1">
                  <c:v>139.9</c:v>
                </c:pt>
                <c:pt idx="2">
                  <c:v>140.4</c:v>
                </c:pt>
                <c:pt idx="3">
                  <c:v>142</c:v>
                </c:pt>
                <c:pt idx="4">
                  <c:v>142.9</c:v>
                </c:pt>
                <c:pt idx="5">
                  <c:v>144.19999999999999</c:v>
                </c:pt>
                <c:pt idx="6">
                  <c:v>145</c:v>
                </c:pt>
                <c:pt idx="7">
                  <c:v>145.80000000000001</c:v>
                </c:pt>
                <c:pt idx="8">
                  <c:v>147.19999999999999</c:v>
                </c:pt>
                <c:pt idx="9">
                  <c:v>148.6</c:v>
                </c:pt>
                <c:pt idx="10">
                  <c:v>150.4</c:v>
                </c:pt>
                <c:pt idx="11">
                  <c:v>150.19999999999999</c:v>
                </c:pt>
                <c:pt idx="12">
                  <c:v>149.1</c:v>
                </c:pt>
                <c:pt idx="13">
                  <c:v>148.6</c:v>
                </c:pt>
                <c:pt idx="14">
                  <c:v>155.6</c:v>
                </c:pt>
                <c:pt idx="15">
                  <c:v>155.6</c:v>
                </c:pt>
                <c:pt idx="16">
                  <c:v>151.80000000000001</c:v>
                </c:pt>
                <c:pt idx="17">
                  <c:v>151.80000000000001</c:v>
                </c:pt>
                <c:pt idx="18">
                  <c:v>153.9</c:v>
                </c:pt>
                <c:pt idx="19">
                  <c:v>154.69999999999999</c:v>
                </c:pt>
                <c:pt idx="20">
                  <c:v>156.4</c:v>
                </c:pt>
                <c:pt idx="21">
                  <c:v>158.4</c:v>
                </c:pt>
                <c:pt idx="22">
                  <c:v>158.9</c:v>
                </c:pt>
                <c:pt idx="23">
                  <c:v>157.30000000000001</c:v>
                </c:pt>
                <c:pt idx="24">
                  <c:v>156.6</c:v>
                </c:pt>
                <c:pt idx="25">
                  <c:v>156.80000000000001</c:v>
                </c:pt>
                <c:pt idx="26">
                  <c:v>157.80000000000001</c:v>
                </c:pt>
                <c:pt idx="27">
                  <c:v>160.4</c:v>
                </c:pt>
                <c:pt idx="28">
                  <c:v>161.30000000000001</c:v>
                </c:pt>
                <c:pt idx="29">
                  <c:v>162.5</c:v>
                </c:pt>
                <c:pt idx="30">
                  <c:v>163.19999999999999</c:v>
                </c:pt>
                <c:pt idx="31">
                  <c:v>163.19999999999999</c:v>
                </c:pt>
                <c:pt idx="32">
                  <c:v>165.5</c:v>
                </c:pt>
                <c:pt idx="33">
                  <c:v>166.7</c:v>
                </c:pt>
                <c:pt idx="34">
                  <c:v>166.2</c:v>
                </c:pt>
              </c:numCache>
            </c:numRef>
          </c:val>
          <c:smooth val="0"/>
          <c:extLst>
            <c:ext xmlns:c16="http://schemas.microsoft.com/office/drawing/2014/chart" uri="{C3380CC4-5D6E-409C-BE32-E72D297353CC}">
              <c16:uniqueId val="{00000000-F553-4171-ADCE-4F5B0A29883A}"/>
            </c:ext>
          </c:extLst>
        </c:ser>
        <c:ser>
          <c:idx val="1"/>
          <c:order val="1"/>
          <c:tx>
            <c:strRef>
              <c:f>COVID_Impact!$E$3</c:f>
              <c:strCache>
                <c:ptCount val="1"/>
                <c:pt idx="0">
                  <c:v>Health Index</c:v>
                </c:pt>
              </c:strCache>
            </c:strRef>
          </c:tx>
          <c:spPr>
            <a:ln w="28575" cap="rnd">
              <a:solidFill>
                <a:schemeClr val="accent2"/>
              </a:solidFill>
              <a:round/>
            </a:ln>
            <a:effectLst/>
          </c:spPr>
          <c:marker>
            <c:symbol val="none"/>
          </c:marker>
          <c:cat>
            <c:strRef>
              <c:f>COVID_Impact!$A$4:$A$38</c:f>
              <c:strCache>
                <c:ptCount val="35"/>
                <c:pt idx="0">
                  <c:v>2019 January</c:v>
                </c:pt>
                <c:pt idx="1">
                  <c:v>2019 February</c:v>
                </c:pt>
                <c:pt idx="2">
                  <c:v>2019 March</c:v>
                </c:pt>
                <c:pt idx="3">
                  <c:v>2019 May</c:v>
                </c:pt>
                <c:pt idx="4">
                  <c:v>2019 June</c:v>
                </c:pt>
                <c:pt idx="5">
                  <c:v>2019 July</c:v>
                </c:pt>
                <c:pt idx="6">
                  <c:v>2019 August</c:v>
                </c:pt>
                <c:pt idx="7">
                  <c:v>2019 September</c:v>
                </c:pt>
                <c:pt idx="8">
                  <c:v>2019 October</c:v>
                </c:pt>
                <c:pt idx="9">
                  <c:v>2019 November</c:v>
                </c:pt>
                <c:pt idx="10">
                  <c:v>2019 December</c:v>
                </c:pt>
                <c:pt idx="11">
                  <c:v>2020 January</c:v>
                </c:pt>
                <c:pt idx="12">
                  <c:v>2020 February</c:v>
                </c:pt>
                <c:pt idx="13">
                  <c:v>2020 March</c:v>
                </c:pt>
                <c:pt idx="14">
                  <c:v>2020 April</c:v>
                </c:pt>
                <c:pt idx="15">
                  <c:v>2020 May</c:v>
                </c:pt>
                <c:pt idx="16">
                  <c:v>2020 June</c:v>
                </c:pt>
                <c:pt idx="17">
                  <c:v>2020 July</c:v>
                </c:pt>
                <c:pt idx="18">
                  <c:v>2020 August</c:v>
                </c:pt>
                <c:pt idx="19">
                  <c:v>2020 September</c:v>
                </c:pt>
                <c:pt idx="20">
                  <c:v>2020 October</c:v>
                </c:pt>
                <c:pt idx="21">
                  <c:v>2020 November</c:v>
                </c:pt>
                <c:pt idx="22">
                  <c:v>2020 December</c:v>
                </c:pt>
                <c:pt idx="23">
                  <c:v>2021 January</c:v>
                </c:pt>
                <c:pt idx="24">
                  <c:v>2021 February</c:v>
                </c:pt>
                <c:pt idx="25">
                  <c:v>2021 March</c:v>
                </c:pt>
                <c:pt idx="26">
                  <c:v>2021 April</c:v>
                </c:pt>
                <c:pt idx="27">
                  <c:v>2021 May</c:v>
                </c:pt>
                <c:pt idx="28">
                  <c:v>2021 June</c:v>
                </c:pt>
                <c:pt idx="29">
                  <c:v>2021 July</c:v>
                </c:pt>
                <c:pt idx="30">
                  <c:v>2021 August</c:v>
                </c:pt>
                <c:pt idx="31">
                  <c:v>2021 September</c:v>
                </c:pt>
                <c:pt idx="32">
                  <c:v>2021 October</c:v>
                </c:pt>
                <c:pt idx="33">
                  <c:v>2021 November</c:v>
                </c:pt>
                <c:pt idx="34">
                  <c:v>2021 December</c:v>
                </c:pt>
              </c:strCache>
            </c:strRef>
          </c:cat>
          <c:val>
            <c:numRef>
              <c:f>COVID_Impact!$E$4:$E$38</c:f>
              <c:numCache>
                <c:formatCode>General</c:formatCode>
                <c:ptCount val="35"/>
                <c:pt idx="0">
                  <c:v>145.1</c:v>
                </c:pt>
                <c:pt idx="1">
                  <c:v>145.6</c:v>
                </c:pt>
                <c:pt idx="2">
                  <c:v>146.19999999999999</c:v>
                </c:pt>
                <c:pt idx="3">
                  <c:v>146.9</c:v>
                </c:pt>
                <c:pt idx="4">
                  <c:v>147.4</c:v>
                </c:pt>
                <c:pt idx="5">
                  <c:v>147.9</c:v>
                </c:pt>
                <c:pt idx="6">
                  <c:v>148.5</c:v>
                </c:pt>
                <c:pt idx="7">
                  <c:v>149</c:v>
                </c:pt>
                <c:pt idx="8">
                  <c:v>149.4</c:v>
                </c:pt>
                <c:pt idx="9">
                  <c:v>149.9</c:v>
                </c:pt>
                <c:pt idx="10">
                  <c:v>150.4</c:v>
                </c:pt>
                <c:pt idx="11">
                  <c:v>151.19999999999999</c:v>
                </c:pt>
                <c:pt idx="12">
                  <c:v>151.69999999999999</c:v>
                </c:pt>
                <c:pt idx="13">
                  <c:v>152.30000000000001</c:v>
                </c:pt>
                <c:pt idx="14">
                  <c:v>155.6</c:v>
                </c:pt>
                <c:pt idx="15">
                  <c:v>155.6</c:v>
                </c:pt>
                <c:pt idx="16">
                  <c:v>154.4</c:v>
                </c:pt>
                <c:pt idx="17">
                  <c:v>154.4</c:v>
                </c:pt>
                <c:pt idx="18">
                  <c:v>155</c:v>
                </c:pt>
                <c:pt idx="19">
                  <c:v>155.6</c:v>
                </c:pt>
                <c:pt idx="20">
                  <c:v>156.30000000000001</c:v>
                </c:pt>
                <c:pt idx="21">
                  <c:v>157.19999999999999</c:v>
                </c:pt>
                <c:pt idx="22">
                  <c:v>158.30000000000001</c:v>
                </c:pt>
                <c:pt idx="23">
                  <c:v>159.30000000000001</c:v>
                </c:pt>
                <c:pt idx="24">
                  <c:v>161.30000000000001</c:v>
                </c:pt>
                <c:pt idx="25">
                  <c:v>161.69999999999999</c:v>
                </c:pt>
                <c:pt idx="26">
                  <c:v>162.30000000000001</c:v>
                </c:pt>
                <c:pt idx="27">
                  <c:v>165.8</c:v>
                </c:pt>
                <c:pt idx="28">
                  <c:v>166.3</c:v>
                </c:pt>
                <c:pt idx="29">
                  <c:v>167</c:v>
                </c:pt>
                <c:pt idx="30">
                  <c:v>168.4</c:v>
                </c:pt>
                <c:pt idx="31">
                  <c:v>168.4</c:v>
                </c:pt>
                <c:pt idx="32">
                  <c:v>169.1</c:v>
                </c:pt>
                <c:pt idx="33">
                  <c:v>169.9</c:v>
                </c:pt>
                <c:pt idx="34">
                  <c:v>170.6</c:v>
                </c:pt>
              </c:numCache>
            </c:numRef>
          </c:val>
          <c:smooth val="0"/>
          <c:extLst>
            <c:ext xmlns:c16="http://schemas.microsoft.com/office/drawing/2014/chart" uri="{C3380CC4-5D6E-409C-BE32-E72D297353CC}">
              <c16:uniqueId val="{00000001-F553-4171-ADCE-4F5B0A29883A}"/>
            </c:ext>
          </c:extLst>
        </c:ser>
        <c:ser>
          <c:idx val="2"/>
          <c:order val="2"/>
          <c:tx>
            <c:strRef>
              <c:f>COVID_Impact!$G$3</c:f>
              <c:strCache>
                <c:ptCount val="1"/>
                <c:pt idx="0">
                  <c:v>Food &amp; Bev Index</c:v>
                </c:pt>
              </c:strCache>
            </c:strRef>
          </c:tx>
          <c:spPr>
            <a:ln w="28575" cap="rnd">
              <a:solidFill>
                <a:schemeClr val="accent3"/>
              </a:solidFill>
              <a:round/>
            </a:ln>
            <a:effectLst/>
          </c:spPr>
          <c:marker>
            <c:symbol val="none"/>
          </c:marker>
          <c:cat>
            <c:strRef>
              <c:f>COVID_Impact!$A$4:$A$38</c:f>
              <c:strCache>
                <c:ptCount val="35"/>
                <c:pt idx="0">
                  <c:v>2019 January</c:v>
                </c:pt>
                <c:pt idx="1">
                  <c:v>2019 February</c:v>
                </c:pt>
                <c:pt idx="2">
                  <c:v>2019 March</c:v>
                </c:pt>
                <c:pt idx="3">
                  <c:v>2019 May</c:v>
                </c:pt>
                <c:pt idx="4">
                  <c:v>2019 June</c:v>
                </c:pt>
                <c:pt idx="5">
                  <c:v>2019 July</c:v>
                </c:pt>
                <c:pt idx="6">
                  <c:v>2019 August</c:v>
                </c:pt>
                <c:pt idx="7">
                  <c:v>2019 September</c:v>
                </c:pt>
                <c:pt idx="8">
                  <c:v>2019 October</c:v>
                </c:pt>
                <c:pt idx="9">
                  <c:v>2019 November</c:v>
                </c:pt>
                <c:pt idx="10">
                  <c:v>2019 December</c:v>
                </c:pt>
                <c:pt idx="11">
                  <c:v>2020 January</c:v>
                </c:pt>
                <c:pt idx="12">
                  <c:v>2020 February</c:v>
                </c:pt>
                <c:pt idx="13">
                  <c:v>2020 March</c:v>
                </c:pt>
                <c:pt idx="14">
                  <c:v>2020 April</c:v>
                </c:pt>
                <c:pt idx="15">
                  <c:v>2020 May</c:v>
                </c:pt>
                <c:pt idx="16">
                  <c:v>2020 June</c:v>
                </c:pt>
                <c:pt idx="17">
                  <c:v>2020 July</c:v>
                </c:pt>
                <c:pt idx="18">
                  <c:v>2020 August</c:v>
                </c:pt>
                <c:pt idx="19">
                  <c:v>2020 September</c:v>
                </c:pt>
                <c:pt idx="20">
                  <c:v>2020 October</c:v>
                </c:pt>
                <c:pt idx="21">
                  <c:v>2020 November</c:v>
                </c:pt>
                <c:pt idx="22">
                  <c:v>2020 December</c:v>
                </c:pt>
                <c:pt idx="23">
                  <c:v>2021 January</c:v>
                </c:pt>
                <c:pt idx="24">
                  <c:v>2021 February</c:v>
                </c:pt>
                <c:pt idx="25">
                  <c:v>2021 March</c:v>
                </c:pt>
                <c:pt idx="26">
                  <c:v>2021 April</c:v>
                </c:pt>
                <c:pt idx="27">
                  <c:v>2021 May</c:v>
                </c:pt>
                <c:pt idx="28">
                  <c:v>2021 June</c:v>
                </c:pt>
                <c:pt idx="29">
                  <c:v>2021 July</c:v>
                </c:pt>
                <c:pt idx="30">
                  <c:v>2021 August</c:v>
                </c:pt>
                <c:pt idx="31">
                  <c:v>2021 September</c:v>
                </c:pt>
                <c:pt idx="32">
                  <c:v>2021 October</c:v>
                </c:pt>
                <c:pt idx="33">
                  <c:v>2021 November</c:v>
                </c:pt>
                <c:pt idx="34">
                  <c:v>2021 December</c:v>
                </c:pt>
              </c:strCache>
            </c:strRef>
          </c:cat>
          <c:val>
            <c:numRef>
              <c:f>COVID_Impact!$G$4:$G$38</c:f>
              <c:numCache>
                <c:formatCode>General</c:formatCode>
                <c:ptCount val="35"/>
                <c:pt idx="0">
                  <c:v>137.4</c:v>
                </c:pt>
                <c:pt idx="1">
                  <c:v>137.5</c:v>
                </c:pt>
                <c:pt idx="2">
                  <c:v>138.1</c:v>
                </c:pt>
                <c:pt idx="3">
                  <c:v>140.9</c:v>
                </c:pt>
                <c:pt idx="4">
                  <c:v>142.69999999999999</c:v>
                </c:pt>
                <c:pt idx="5">
                  <c:v>144.69999999999999</c:v>
                </c:pt>
                <c:pt idx="6">
                  <c:v>145.9</c:v>
                </c:pt>
                <c:pt idx="7">
                  <c:v>147</c:v>
                </c:pt>
                <c:pt idx="8">
                  <c:v>149.6</c:v>
                </c:pt>
                <c:pt idx="9">
                  <c:v>151.9</c:v>
                </c:pt>
                <c:pt idx="10">
                  <c:v>155</c:v>
                </c:pt>
                <c:pt idx="11">
                  <c:v>153.5</c:v>
                </c:pt>
                <c:pt idx="12">
                  <c:v>150.5</c:v>
                </c:pt>
                <c:pt idx="13">
                  <c:v>148.9</c:v>
                </c:pt>
                <c:pt idx="14">
                  <c:v>149.5</c:v>
                </c:pt>
                <c:pt idx="15">
                  <c:v>149.5</c:v>
                </c:pt>
                <c:pt idx="16">
                  <c:v>154</c:v>
                </c:pt>
                <c:pt idx="17">
                  <c:v>154</c:v>
                </c:pt>
                <c:pt idx="18">
                  <c:v>157</c:v>
                </c:pt>
                <c:pt idx="19">
                  <c:v>158</c:v>
                </c:pt>
                <c:pt idx="20">
                  <c:v>161.4</c:v>
                </c:pt>
                <c:pt idx="21">
                  <c:v>164.7</c:v>
                </c:pt>
                <c:pt idx="22">
                  <c:v>165.4</c:v>
                </c:pt>
                <c:pt idx="23">
                  <c:v>161</c:v>
                </c:pt>
                <c:pt idx="24">
                  <c:v>156.9</c:v>
                </c:pt>
                <c:pt idx="25">
                  <c:v>156.69999999999999</c:v>
                </c:pt>
                <c:pt idx="26">
                  <c:v>158</c:v>
                </c:pt>
                <c:pt idx="27">
                  <c:v>160.69999999999999</c:v>
                </c:pt>
                <c:pt idx="28">
                  <c:v>162.6</c:v>
                </c:pt>
                <c:pt idx="29">
                  <c:v>164</c:v>
                </c:pt>
                <c:pt idx="30">
                  <c:v>164</c:v>
                </c:pt>
                <c:pt idx="31">
                  <c:v>164</c:v>
                </c:pt>
                <c:pt idx="32">
                  <c:v>167.7</c:v>
                </c:pt>
                <c:pt idx="33">
                  <c:v>169.7</c:v>
                </c:pt>
                <c:pt idx="34">
                  <c:v>168.2</c:v>
                </c:pt>
              </c:numCache>
            </c:numRef>
          </c:val>
          <c:smooth val="0"/>
          <c:extLst>
            <c:ext xmlns:c16="http://schemas.microsoft.com/office/drawing/2014/chart" uri="{C3380CC4-5D6E-409C-BE32-E72D297353CC}">
              <c16:uniqueId val="{00000002-F553-4171-ADCE-4F5B0A29883A}"/>
            </c:ext>
          </c:extLst>
        </c:ser>
        <c:ser>
          <c:idx val="3"/>
          <c:order val="3"/>
          <c:tx>
            <c:strRef>
              <c:f>COVID_Impact!$I$3</c:f>
              <c:strCache>
                <c:ptCount val="1"/>
                <c:pt idx="0">
                  <c:v>Fuel &amp; Light</c:v>
                </c:pt>
              </c:strCache>
            </c:strRef>
          </c:tx>
          <c:spPr>
            <a:ln w="28575" cap="rnd">
              <a:solidFill>
                <a:schemeClr val="accent4"/>
              </a:solidFill>
              <a:round/>
            </a:ln>
            <a:effectLst/>
          </c:spPr>
          <c:marker>
            <c:symbol val="none"/>
          </c:marker>
          <c:cat>
            <c:strRef>
              <c:f>COVID_Impact!$A$4:$A$38</c:f>
              <c:strCache>
                <c:ptCount val="35"/>
                <c:pt idx="0">
                  <c:v>2019 January</c:v>
                </c:pt>
                <c:pt idx="1">
                  <c:v>2019 February</c:v>
                </c:pt>
                <c:pt idx="2">
                  <c:v>2019 March</c:v>
                </c:pt>
                <c:pt idx="3">
                  <c:v>2019 May</c:v>
                </c:pt>
                <c:pt idx="4">
                  <c:v>2019 June</c:v>
                </c:pt>
                <c:pt idx="5">
                  <c:v>2019 July</c:v>
                </c:pt>
                <c:pt idx="6">
                  <c:v>2019 August</c:v>
                </c:pt>
                <c:pt idx="7">
                  <c:v>2019 September</c:v>
                </c:pt>
                <c:pt idx="8">
                  <c:v>2019 October</c:v>
                </c:pt>
                <c:pt idx="9">
                  <c:v>2019 November</c:v>
                </c:pt>
                <c:pt idx="10">
                  <c:v>2019 December</c:v>
                </c:pt>
                <c:pt idx="11">
                  <c:v>2020 January</c:v>
                </c:pt>
                <c:pt idx="12">
                  <c:v>2020 February</c:v>
                </c:pt>
                <c:pt idx="13">
                  <c:v>2020 March</c:v>
                </c:pt>
                <c:pt idx="14">
                  <c:v>2020 April</c:v>
                </c:pt>
                <c:pt idx="15">
                  <c:v>2020 May</c:v>
                </c:pt>
                <c:pt idx="16">
                  <c:v>2020 June</c:v>
                </c:pt>
                <c:pt idx="17">
                  <c:v>2020 July</c:v>
                </c:pt>
                <c:pt idx="18">
                  <c:v>2020 August</c:v>
                </c:pt>
                <c:pt idx="19">
                  <c:v>2020 September</c:v>
                </c:pt>
                <c:pt idx="20">
                  <c:v>2020 October</c:v>
                </c:pt>
                <c:pt idx="21">
                  <c:v>2020 November</c:v>
                </c:pt>
                <c:pt idx="22">
                  <c:v>2020 December</c:v>
                </c:pt>
                <c:pt idx="23">
                  <c:v>2021 January</c:v>
                </c:pt>
                <c:pt idx="24">
                  <c:v>2021 February</c:v>
                </c:pt>
                <c:pt idx="25">
                  <c:v>2021 March</c:v>
                </c:pt>
                <c:pt idx="26">
                  <c:v>2021 April</c:v>
                </c:pt>
                <c:pt idx="27">
                  <c:v>2021 May</c:v>
                </c:pt>
                <c:pt idx="28">
                  <c:v>2021 June</c:v>
                </c:pt>
                <c:pt idx="29">
                  <c:v>2021 July</c:v>
                </c:pt>
                <c:pt idx="30">
                  <c:v>2021 August</c:v>
                </c:pt>
                <c:pt idx="31">
                  <c:v>2021 September</c:v>
                </c:pt>
                <c:pt idx="32">
                  <c:v>2021 October</c:v>
                </c:pt>
                <c:pt idx="33">
                  <c:v>2021 November</c:v>
                </c:pt>
                <c:pt idx="34">
                  <c:v>2021 December</c:v>
                </c:pt>
              </c:strCache>
            </c:strRef>
          </c:cat>
          <c:val>
            <c:numRef>
              <c:f>COVID_Impact!$I$4:$I$38</c:f>
              <c:numCache>
                <c:formatCode>General</c:formatCode>
                <c:ptCount val="35"/>
                <c:pt idx="0">
                  <c:v>139.5</c:v>
                </c:pt>
                <c:pt idx="1">
                  <c:v>138.4</c:v>
                </c:pt>
                <c:pt idx="2">
                  <c:v>139.69999999999999</c:v>
                </c:pt>
                <c:pt idx="3">
                  <c:v>140.30000000000001</c:v>
                </c:pt>
                <c:pt idx="4">
                  <c:v>141.19999999999999</c:v>
                </c:pt>
                <c:pt idx="5">
                  <c:v>139.30000000000001</c:v>
                </c:pt>
                <c:pt idx="6">
                  <c:v>138.5</c:v>
                </c:pt>
                <c:pt idx="7">
                  <c:v>139.19999999999999</c:v>
                </c:pt>
                <c:pt idx="8">
                  <c:v>140.6</c:v>
                </c:pt>
                <c:pt idx="9">
                  <c:v>142.30000000000001</c:v>
                </c:pt>
                <c:pt idx="10">
                  <c:v>143.69999999999999</c:v>
                </c:pt>
                <c:pt idx="11">
                  <c:v>144.6</c:v>
                </c:pt>
                <c:pt idx="12">
                  <c:v>147.19999999999999</c:v>
                </c:pt>
                <c:pt idx="13">
                  <c:v>148.9</c:v>
                </c:pt>
                <c:pt idx="14">
                  <c:v>155.6</c:v>
                </c:pt>
                <c:pt idx="15">
                  <c:v>155.6</c:v>
                </c:pt>
                <c:pt idx="16">
                  <c:v>141.9</c:v>
                </c:pt>
                <c:pt idx="17">
                  <c:v>141.9</c:v>
                </c:pt>
                <c:pt idx="18">
                  <c:v>143</c:v>
                </c:pt>
                <c:pt idx="19">
                  <c:v>142.9</c:v>
                </c:pt>
                <c:pt idx="20">
                  <c:v>143.1</c:v>
                </c:pt>
                <c:pt idx="21">
                  <c:v>143.6</c:v>
                </c:pt>
                <c:pt idx="22">
                  <c:v>144.6</c:v>
                </c:pt>
                <c:pt idx="23">
                  <c:v>147.9</c:v>
                </c:pt>
                <c:pt idx="24">
                  <c:v>152.4</c:v>
                </c:pt>
                <c:pt idx="25">
                  <c:v>155.5</c:v>
                </c:pt>
                <c:pt idx="26">
                  <c:v>155.6</c:v>
                </c:pt>
                <c:pt idx="27">
                  <c:v>159.4</c:v>
                </c:pt>
                <c:pt idx="28">
                  <c:v>159.80000000000001</c:v>
                </c:pt>
                <c:pt idx="29">
                  <c:v>160.69999999999999</c:v>
                </c:pt>
                <c:pt idx="30">
                  <c:v>162.6</c:v>
                </c:pt>
                <c:pt idx="31">
                  <c:v>162.6</c:v>
                </c:pt>
                <c:pt idx="32">
                  <c:v>164.2</c:v>
                </c:pt>
                <c:pt idx="33">
                  <c:v>163.9</c:v>
                </c:pt>
                <c:pt idx="34">
                  <c:v>164.1</c:v>
                </c:pt>
              </c:numCache>
            </c:numRef>
          </c:val>
          <c:smooth val="0"/>
          <c:extLst>
            <c:ext xmlns:c16="http://schemas.microsoft.com/office/drawing/2014/chart" uri="{C3380CC4-5D6E-409C-BE32-E72D297353CC}">
              <c16:uniqueId val="{00000003-F553-4171-ADCE-4F5B0A29883A}"/>
            </c:ext>
          </c:extLst>
        </c:ser>
        <c:dLbls>
          <c:showLegendKey val="0"/>
          <c:showVal val="0"/>
          <c:showCatName val="0"/>
          <c:showSerName val="0"/>
          <c:showPercent val="0"/>
          <c:showBubbleSize val="0"/>
        </c:dLbls>
        <c:smooth val="0"/>
        <c:axId val="116363872"/>
        <c:axId val="116357632"/>
      </c:lineChart>
      <c:catAx>
        <c:axId val="11636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7632"/>
        <c:crosses val="autoZero"/>
        <c:auto val="1"/>
        <c:lblAlgn val="ctr"/>
        <c:lblOffset val="100"/>
        <c:noMultiLvlLbl val="0"/>
      </c:catAx>
      <c:valAx>
        <c:axId val="116357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Index</a:t>
                </a:r>
                <a:r>
                  <a:rPr lang="en-IN" baseline="0"/>
                  <a:t> Value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63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CPI Index — Pre vs Post COVID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COVID_Impact!$A$44</c:f>
              <c:strCache>
                <c:ptCount val="1"/>
                <c:pt idx="0">
                  <c:v>Pre-COVID (Jan 2019 – Feb 2020)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COVID_Impact!$B$43:$E$43</c:f>
              <c:strCache>
                <c:ptCount val="4"/>
                <c:pt idx="0">
                  <c:v>Avg General Index</c:v>
                </c:pt>
                <c:pt idx="1">
                  <c:v>Avg Health</c:v>
                </c:pt>
                <c:pt idx="2">
                  <c:v>Avg Food</c:v>
                </c:pt>
                <c:pt idx="3">
                  <c:v>Avg Fuel</c:v>
                </c:pt>
              </c:strCache>
            </c:strRef>
          </c:cat>
          <c:val>
            <c:numRef>
              <c:f>COVID_Impact!$B$44:$E$44</c:f>
              <c:numCache>
                <c:formatCode>General</c:formatCode>
                <c:ptCount val="4"/>
                <c:pt idx="0" formatCode="0.00">
                  <c:v>145.02307692307693</c:v>
                </c:pt>
                <c:pt idx="1">
                  <c:v>148.40000000000003</c:v>
                </c:pt>
                <c:pt idx="2" formatCode="0.00">
                  <c:v>145.74615384615385</c:v>
                </c:pt>
                <c:pt idx="3" formatCode="0.00">
                  <c:v>141.11538461538458</c:v>
                </c:pt>
              </c:numCache>
            </c:numRef>
          </c:val>
          <c:extLst>
            <c:ext xmlns:c16="http://schemas.microsoft.com/office/drawing/2014/chart" uri="{C3380CC4-5D6E-409C-BE32-E72D297353CC}">
              <c16:uniqueId val="{00000000-6B34-47F2-ABAF-859F74267A28}"/>
            </c:ext>
          </c:extLst>
        </c:ser>
        <c:ser>
          <c:idx val="1"/>
          <c:order val="1"/>
          <c:tx>
            <c:strRef>
              <c:f>COVID_Impact!$A$45</c:f>
              <c:strCache>
                <c:ptCount val="1"/>
                <c:pt idx="0">
                  <c:v>Post-COVID (Mar 2020 – Dec 2021)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COVID_Impact!$B$43:$E$43</c:f>
              <c:strCache>
                <c:ptCount val="4"/>
                <c:pt idx="0">
                  <c:v>Avg General Index</c:v>
                </c:pt>
                <c:pt idx="1">
                  <c:v>Avg Health</c:v>
                </c:pt>
                <c:pt idx="2">
                  <c:v>Avg Food</c:v>
                </c:pt>
                <c:pt idx="3">
                  <c:v>Avg Fuel</c:v>
                </c:pt>
              </c:strCache>
            </c:strRef>
          </c:cat>
          <c:val>
            <c:numRef>
              <c:f>COVID_Impact!$B$45:$E$45</c:f>
              <c:numCache>
                <c:formatCode>0.00</c:formatCode>
                <c:ptCount val="4"/>
                <c:pt idx="0">
                  <c:v>158.32727272727269</c:v>
                </c:pt>
                <c:pt idx="1">
                  <c:v>161.12727272727273</c:v>
                </c:pt>
                <c:pt idx="2">
                  <c:v>159.81363636363633</c:v>
                </c:pt>
                <c:pt idx="3">
                  <c:v>153.17272727272726</c:v>
                </c:pt>
              </c:numCache>
            </c:numRef>
          </c:val>
          <c:extLst>
            <c:ext xmlns:c16="http://schemas.microsoft.com/office/drawing/2014/chart" uri="{C3380CC4-5D6E-409C-BE32-E72D297353CC}">
              <c16:uniqueId val="{00000001-6B34-47F2-ABAF-859F74267A28}"/>
            </c:ext>
          </c:extLst>
        </c:ser>
        <c:dLbls>
          <c:dLblPos val="outEnd"/>
          <c:showLegendKey val="0"/>
          <c:showVal val="1"/>
          <c:showCatName val="0"/>
          <c:showSerName val="0"/>
          <c:showPercent val="0"/>
          <c:showBubbleSize val="0"/>
        </c:dLbls>
        <c:gapWidth val="219"/>
        <c:overlap val="-27"/>
        <c:axId val="308368480"/>
        <c:axId val="308372320"/>
      </c:barChart>
      <c:catAx>
        <c:axId val="30836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372320"/>
        <c:crosses val="autoZero"/>
        <c:auto val="1"/>
        <c:lblAlgn val="ctr"/>
        <c:lblOffset val="100"/>
        <c:noMultiLvlLbl val="0"/>
      </c:catAx>
      <c:valAx>
        <c:axId val="308372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CPI Value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368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Correlation of CPI Categories with Brent Crude Oil Price Changes (2021–2023)</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Oil_Correlation!$A$36</c:f>
              <c:strCache>
                <c:ptCount val="1"/>
                <c:pt idx="0">
                  <c:v>Oils &amp; Fats</c:v>
                </c:pt>
              </c:strCache>
            </c:strRef>
          </c:tx>
          <c:spPr>
            <a:solidFill>
              <a:schemeClr val="accent1"/>
            </a:solidFill>
            <a:ln>
              <a:noFill/>
            </a:ln>
            <a:effectLst/>
          </c:spPr>
          <c:invertIfNegative val="0"/>
          <c:cat>
            <c:strRef>
              <c:f>Oil_Correlation!$B$35</c:f>
              <c:strCache>
                <c:ptCount val="1"/>
                <c:pt idx="0">
                  <c:v>Correlation with Oil</c:v>
                </c:pt>
              </c:strCache>
            </c:strRef>
          </c:cat>
          <c:val>
            <c:numRef>
              <c:f>Oil_Correlation!$B$36</c:f>
              <c:numCache>
                <c:formatCode>0.000</c:formatCode>
                <c:ptCount val="1"/>
                <c:pt idx="0">
                  <c:v>0.47755972299676885</c:v>
                </c:pt>
              </c:numCache>
            </c:numRef>
          </c:val>
          <c:extLst>
            <c:ext xmlns:c16="http://schemas.microsoft.com/office/drawing/2014/chart" uri="{C3380CC4-5D6E-409C-BE32-E72D297353CC}">
              <c16:uniqueId val="{00000000-424A-4691-8BD9-515140318A74}"/>
            </c:ext>
          </c:extLst>
        </c:ser>
        <c:ser>
          <c:idx val="1"/>
          <c:order val="1"/>
          <c:tx>
            <c:strRef>
              <c:f>Oil_Correlation!$A$37</c:f>
              <c:strCache>
                <c:ptCount val="1"/>
                <c:pt idx="0">
                  <c:v>Fuel &amp; Light</c:v>
                </c:pt>
              </c:strCache>
            </c:strRef>
          </c:tx>
          <c:spPr>
            <a:solidFill>
              <a:schemeClr val="accent2"/>
            </a:solidFill>
            <a:ln>
              <a:noFill/>
            </a:ln>
            <a:effectLst/>
          </c:spPr>
          <c:invertIfNegative val="0"/>
          <c:cat>
            <c:strRef>
              <c:f>Oil_Correlation!$B$35</c:f>
              <c:strCache>
                <c:ptCount val="1"/>
                <c:pt idx="0">
                  <c:v>Correlation with Oil</c:v>
                </c:pt>
              </c:strCache>
            </c:strRef>
          </c:cat>
          <c:val>
            <c:numRef>
              <c:f>Oil_Correlation!$B$37</c:f>
              <c:numCache>
                <c:formatCode>0.000</c:formatCode>
                <c:ptCount val="1"/>
                <c:pt idx="0">
                  <c:v>0.5482018556524757</c:v>
                </c:pt>
              </c:numCache>
            </c:numRef>
          </c:val>
          <c:extLst>
            <c:ext xmlns:c16="http://schemas.microsoft.com/office/drawing/2014/chart" uri="{C3380CC4-5D6E-409C-BE32-E72D297353CC}">
              <c16:uniqueId val="{00000001-424A-4691-8BD9-515140318A74}"/>
            </c:ext>
          </c:extLst>
        </c:ser>
        <c:ser>
          <c:idx val="2"/>
          <c:order val="2"/>
          <c:tx>
            <c:strRef>
              <c:f>Oil_Correlation!$A$38</c:f>
              <c:strCache>
                <c:ptCount val="1"/>
                <c:pt idx="0">
                  <c:v>Transport</c:v>
                </c:pt>
              </c:strCache>
            </c:strRef>
          </c:tx>
          <c:spPr>
            <a:solidFill>
              <a:schemeClr val="accent3"/>
            </a:solidFill>
            <a:ln>
              <a:noFill/>
            </a:ln>
            <a:effectLst/>
          </c:spPr>
          <c:invertIfNegative val="0"/>
          <c:cat>
            <c:strRef>
              <c:f>Oil_Correlation!$B$35</c:f>
              <c:strCache>
                <c:ptCount val="1"/>
                <c:pt idx="0">
                  <c:v>Correlation with Oil</c:v>
                </c:pt>
              </c:strCache>
            </c:strRef>
          </c:cat>
          <c:val>
            <c:numRef>
              <c:f>Oil_Correlation!$B$38</c:f>
              <c:numCache>
                <c:formatCode>0.000</c:formatCode>
                <c:ptCount val="1"/>
                <c:pt idx="0">
                  <c:v>0.45408940921483831</c:v>
                </c:pt>
              </c:numCache>
            </c:numRef>
          </c:val>
          <c:extLst>
            <c:ext xmlns:c16="http://schemas.microsoft.com/office/drawing/2014/chart" uri="{C3380CC4-5D6E-409C-BE32-E72D297353CC}">
              <c16:uniqueId val="{00000002-424A-4691-8BD9-515140318A74}"/>
            </c:ext>
          </c:extLst>
        </c:ser>
        <c:ser>
          <c:idx val="3"/>
          <c:order val="3"/>
          <c:tx>
            <c:strRef>
              <c:f>Oil_Correlation!$A$39</c:f>
              <c:strCache>
                <c:ptCount val="1"/>
                <c:pt idx="0">
                  <c:v>Health</c:v>
                </c:pt>
              </c:strCache>
            </c:strRef>
          </c:tx>
          <c:spPr>
            <a:solidFill>
              <a:schemeClr val="accent4"/>
            </a:solidFill>
            <a:ln>
              <a:noFill/>
            </a:ln>
            <a:effectLst/>
          </c:spPr>
          <c:invertIfNegative val="0"/>
          <c:cat>
            <c:strRef>
              <c:f>Oil_Correlation!$B$35</c:f>
              <c:strCache>
                <c:ptCount val="1"/>
                <c:pt idx="0">
                  <c:v>Correlation with Oil</c:v>
                </c:pt>
              </c:strCache>
            </c:strRef>
          </c:cat>
          <c:val>
            <c:numRef>
              <c:f>Oil_Correlation!$B$39</c:f>
              <c:numCache>
                <c:formatCode>0.000</c:formatCode>
                <c:ptCount val="1"/>
                <c:pt idx="0">
                  <c:v>-3.9727377969631578E-2</c:v>
                </c:pt>
              </c:numCache>
            </c:numRef>
          </c:val>
          <c:extLst>
            <c:ext xmlns:c16="http://schemas.microsoft.com/office/drawing/2014/chart" uri="{C3380CC4-5D6E-409C-BE32-E72D297353CC}">
              <c16:uniqueId val="{00000003-424A-4691-8BD9-515140318A74}"/>
            </c:ext>
          </c:extLst>
        </c:ser>
        <c:ser>
          <c:idx val="4"/>
          <c:order val="4"/>
          <c:tx>
            <c:strRef>
              <c:f>Oil_Correlation!$A$40</c:f>
              <c:strCache>
                <c:ptCount val="1"/>
                <c:pt idx="0">
                  <c:v>Food and Beverage</c:v>
                </c:pt>
              </c:strCache>
            </c:strRef>
          </c:tx>
          <c:spPr>
            <a:solidFill>
              <a:schemeClr val="accent5"/>
            </a:solidFill>
            <a:ln>
              <a:noFill/>
            </a:ln>
            <a:effectLst/>
          </c:spPr>
          <c:invertIfNegative val="0"/>
          <c:cat>
            <c:strRef>
              <c:f>Oil_Correlation!$B$35</c:f>
              <c:strCache>
                <c:ptCount val="1"/>
                <c:pt idx="0">
                  <c:v>Correlation with Oil</c:v>
                </c:pt>
              </c:strCache>
            </c:strRef>
          </c:cat>
          <c:val>
            <c:numRef>
              <c:f>Oil_Correlation!$B$40</c:f>
              <c:numCache>
                <c:formatCode>0.000</c:formatCode>
                <c:ptCount val="1"/>
                <c:pt idx="0">
                  <c:v>0.26859762248526486</c:v>
                </c:pt>
              </c:numCache>
            </c:numRef>
          </c:val>
          <c:extLst>
            <c:ext xmlns:c16="http://schemas.microsoft.com/office/drawing/2014/chart" uri="{C3380CC4-5D6E-409C-BE32-E72D297353CC}">
              <c16:uniqueId val="{00000004-424A-4691-8BD9-515140318A74}"/>
            </c:ext>
          </c:extLst>
        </c:ser>
        <c:ser>
          <c:idx val="5"/>
          <c:order val="5"/>
          <c:tx>
            <c:strRef>
              <c:f>Oil_Correlation!$A$41</c:f>
              <c:strCache>
                <c:ptCount val="1"/>
                <c:pt idx="0">
                  <c:v>Cereals</c:v>
                </c:pt>
              </c:strCache>
            </c:strRef>
          </c:tx>
          <c:spPr>
            <a:solidFill>
              <a:schemeClr val="accent6"/>
            </a:solidFill>
            <a:ln>
              <a:noFill/>
            </a:ln>
            <a:effectLst/>
          </c:spPr>
          <c:invertIfNegative val="0"/>
          <c:cat>
            <c:strRef>
              <c:f>Oil_Correlation!$B$35</c:f>
              <c:strCache>
                <c:ptCount val="1"/>
                <c:pt idx="0">
                  <c:v>Correlation with Oil</c:v>
                </c:pt>
              </c:strCache>
            </c:strRef>
          </c:cat>
          <c:val>
            <c:numRef>
              <c:f>Oil_Correlation!$B$41</c:f>
              <c:numCache>
                <c:formatCode>0.000</c:formatCode>
                <c:ptCount val="1"/>
                <c:pt idx="0">
                  <c:v>-0.27636163288510346</c:v>
                </c:pt>
              </c:numCache>
            </c:numRef>
          </c:val>
          <c:extLst>
            <c:ext xmlns:c16="http://schemas.microsoft.com/office/drawing/2014/chart" uri="{C3380CC4-5D6E-409C-BE32-E72D297353CC}">
              <c16:uniqueId val="{00000005-424A-4691-8BD9-515140318A74}"/>
            </c:ext>
          </c:extLst>
        </c:ser>
        <c:ser>
          <c:idx val="6"/>
          <c:order val="6"/>
          <c:tx>
            <c:strRef>
              <c:f>Oil_Correlation!$A$42</c:f>
              <c:strCache>
                <c:ptCount val="1"/>
                <c:pt idx="0">
                  <c:v>General Index</c:v>
                </c:pt>
              </c:strCache>
            </c:strRef>
          </c:tx>
          <c:spPr>
            <a:solidFill>
              <a:schemeClr val="accent1">
                <a:lumMod val="60000"/>
              </a:schemeClr>
            </a:solidFill>
            <a:ln>
              <a:noFill/>
            </a:ln>
            <a:effectLst/>
          </c:spPr>
          <c:invertIfNegative val="0"/>
          <c:cat>
            <c:strRef>
              <c:f>Oil_Correlation!$B$35</c:f>
              <c:strCache>
                <c:ptCount val="1"/>
                <c:pt idx="0">
                  <c:v>Correlation with Oil</c:v>
                </c:pt>
              </c:strCache>
            </c:strRef>
          </c:cat>
          <c:val>
            <c:numRef>
              <c:f>Oil_Correlation!$B$42</c:f>
              <c:numCache>
                <c:formatCode>0.000</c:formatCode>
                <c:ptCount val="1"/>
                <c:pt idx="0">
                  <c:v>1.9185491413410891E-2</c:v>
                </c:pt>
              </c:numCache>
            </c:numRef>
          </c:val>
          <c:extLst>
            <c:ext xmlns:c16="http://schemas.microsoft.com/office/drawing/2014/chart" uri="{C3380CC4-5D6E-409C-BE32-E72D297353CC}">
              <c16:uniqueId val="{00000006-424A-4691-8BD9-515140318A74}"/>
            </c:ext>
          </c:extLst>
        </c:ser>
        <c:dLbls>
          <c:showLegendKey val="0"/>
          <c:showVal val="0"/>
          <c:showCatName val="0"/>
          <c:showSerName val="0"/>
          <c:showPercent val="0"/>
          <c:showBubbleSize val="0"/>
        </c:dLbls>
        <c:gapWidth val="182"/>
        <c:axId val="1525822847"/>
        <c:axId val="1525823807"/>
      </c:barChart>
      <c:catAx>
        <c:axId val="152582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823807"/>
        <c:crosses val="autoZero"/>
        <c:auto val="1"/>
        <c:lblAlgn val="ctr"/>
        <c:lblOffset val="100"/>
        <c:noMultiLvlLbl val="0"/>
      </c:catAx>
      <c:valAx>
        <c:axId val="1525823807"/>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822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 Q3 - Food Inflation </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 Q3 - Food Inflation </a:t>
          </a:r>
        </a:p>
      </cx:txPr>
    </cx:title>
    <cx:plotArea>
      <cx:plotAreaRegion>
        <cx:series layoutId="clusteredColumn" uniqueId="{2AE48D1D-C5CF-49F9-A786-00FE6E80E0CA}">
          <cx:tx>
            <cx:txData>
              <cx:f>_xlchart.v1.1</cx:f>
              <cx:v>Absolute Change</cx:v>
            </cx:txData>
          </cx:tx>
          <cx:dataLabels>
            <cx:visibility seriesName="0" categoryName="0" value="1"/>
          </cx:dataLabels>
          <cx:dataId val="0"/>
          <cx:layoutPr>
            <cx:aggregation/>
          </cx:layoutPr>
          <cx:axisId val="1"/>
        </cx:series>
        <cx:series layoutId="paretoLine" ownerIdx="0" uniqueId="{FE54CA97-6E14-4A5F-9264-8E1CF48C560E}">
          <cx:axisId val="2"/>
        </cx:series>
      </cx:plotAreaRegion>
      <cx:axis id="0">
        <cx:catScaling gapWidth="0"/>
        <cx:title>
          <cx:tx>
            <cx:txData>
              <cx:v> Food Category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 Food Category</a:t>
              </a:r>
            </a:p>
          </cx:txPr>
        </cx:title>
        <cx:tickLabels/>
      </cx:axis>
      <cx:axis id="1">
        <cx:valScaling/>
        <cx:title>
          <cx:tx>
            <cx:txData>
              <cx:v> Absolute Chnage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 Absolute Chnage</a:t>
              </a:r>
            </a:p>
          </cx:txPr>
        </cx:title>
        <cx:majorGridlines/>
        <cx:tickLabels/>
      </cx:axis>
      <cx:axis id="2">
        <cx:valScaling max="1" min="0"/>
        <cx:title>
          <cx:tx>
            <cx:txData>
              <cx:v>Inflation Value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Inflation Value</a:t>
              </a:r>
            </a:p>
          </cx:txPr>
        </cx:title>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txData>
          <cx:v> Food Inflation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 Food Inflation </a:t>
          </a:r>
        </a:p>
      </cx:txPr>
    </cx:title>
    <cx:plotArea>
      <cx:plotAreaRegion>
        <cx:series layoutId="clusteredColumn" uniqueId="{2AE48D1D-C5CF-49F9-A786-00FE6E80E0CA}">
          <cx:tx>
            <cx:txData>
              <cx:f>_xlchart.v1.7</cx:f>
              <cx:v>Absolute Change</cx:v>
            </cx:txData>
          </cx:tx>
          <cx:dataLabels>
            <cx:visibility seriesName="0" categoryName="0" value="1"/>
          </cx:dataLabels>
          <cx:dataId val="0"/>
          <cx:layoutPr>
            <cx:aggregation/>
          </cx:layoutPr>
          <cx:axisId val="1"/>
        </cx:series>
        <cx:series layoutId="paretoLine" ownerIdx="0" uniqueId="{FE54CA97-6E14-4A5F-9264-8E1CF48C560E}">
          <cx:axisId val="2"/>
        </cx:series>
      </cx:plotAreaRegion>
      <cx:axis id="0">
        <cx:catScaling gapWidth="0"/>
        <cx:title>
          <cx:tx>
            <cx:txData>
              <cx:v> Food Category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 Food Category</a:t>
              </a:r>
            </a:p>
          </cx:txPr>
        </cx:title>
        <cx:tickLabels/>
      </cx:axis>
      <cx:axis id="1">
        <cx:valScaling/>
        <cx:title>
          <cx:tx>
            <cx:txData>
              <cx:v> Absolute Chnage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 Absolute Chnage</a:t>
              </a:r>
            </a:p>
          </cx:txPr>
        </cx:title>
        <cx:majorGridlines/>
        <cx:tickLabels/>
      </cx:axis>
      <cx:axis id="2">
        <cx:valScaling max="1" min="0"/>
        <cx:title>
          <cx:tx>
            <cx:txData>
              <cx:v>Inflation Value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Inflation Value</a:t>
              </a:r>
            </a:p>
          </cx:txPr>
        </cx:title>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0</xdr:colOff>
      <xdr:row>12</xdr:row>
      <xdr:rowOff>0</xdr:rowOff>
    </xdr:from>
    <xdr:to>
      <xdr:col>9</xdr:col>
      <xdr:colOff>596900</xdr:colOff>
      <xdr:row>88</xdr:row>
      <xdr:rowOff>77000</xdr:rowOff>
    </xdr:to>
    <xdr:grpSp>
      <xdr:nvGrpSpPr>
        <xdr:cNvPr id="8" name="Group 7">
          <a:extLst>
            <a:ext uri="{FF2B5EF4-FFF2-40B4-BE49-F238E27FC236}">
              <a16:creationId xmlns:a16="http://schemas.microsoft.com/office/drawing/2014/main" id="{236D094A-5C87-C59A-A8B7-C4EE29488454}"/>
            </a:ext>
          </a:extLst>
        </xdr:cNvPr>
        <xdr:cNvGrpSpPr/>
      </xdr:nvGrpSpPr>
      <xdr:grpSpPr>
        <a:xfrm>
          <a:off x="609600" y="3606800"/>
          <a:ext cx="10071100" cy="14072400"/>
          <a:chOff x="609600" y="3606800"/>
          <a:chExt cx="10071100" cy="14071600"/>
        </a:xfrm>
      </xdr:grpSpPr>
      <xdr:graphicFrame macro="">
        <xdr:nvGraphicFramePr>
          <xdr:cNvPr id="2" name="Chart 1">
            <a:extLst>
              <a:ext uri="{FF2B5EF4-FFF2-40B4-BE49-F238E27FC236}">
                <a16:creationId xmlns:a16="http://schemas.microsoft.com/office/drawing/2014/main" id="{1D2718C8-992A-47C3-9D94-6AE23BEAE948}"/>
              </a:ext>
            </a:extLst>
          </xdr:cNvPr>
          <xdr:cNvGraphicFramePr>
            <a:graphicFrameLocks/>
          </xdr:cNvGraphicFramePr>
        </xdr:nvGraphicFramePr>
        <xdr:xfrm>
          <a:off x="609600" y="3606800"/>
          <a:ext cx="4784726" cy="28384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225EA843-8E13-4803-A4DE-88B8A46AFFF2}"/>
              </a:ext>
            </a:extLst>
          </xdr:cNvPr>
          <xdr:cNvGraphicFramePr>
            <a:graphicFrameLocks/>
          </xdr:cNvGraphicFramePr>
        </xdr:nvGraphicFramePr>
        <xdr:xfrm>
          <a:off x="5556250" y="3606800"/>
          <a:ext cx="5095875" cy="282575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E876CC8A-E894-4737-BB0B-F0F5D9D2972E}"/>
              </a:ext>
            </a:extLst>
          </xdr:cNvPr>
          <xdr:cNvGraphicFramePr>
            <a:graphicFrameLocks/>
          </xdr:cNvGraphicFramePr>
        </xdr:nvGraphicFramePr>
        <xdr:xfrm>
          <a:off x="609600" y="6553200"/>
          <a:ext cx="4781550" cy="2743200"/>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D11F4B2E-C5C3-42F6-8F07-E6B40FE5165D}"/>
                  </a:ext>
                </a:extLst>
              </xdr:cNvPr>
              <xdr:cNvGraphicFramePr/>
            </xdr:nvGraphicFramePr>
            <xdr:xfrm>
              <a:off x="5562600" y="6546850"/>
              <a:ext cx="5118100" cy="274320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562600" y="6546850"/>
                <a:ext cx="51181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6" name="Chart 5">
            <a:extLst>
              <a:ext uri="{FF2B5EF4-FFF2-40B4-BE49-F238E27FC236}">
                <a16:creationId xmlns:a16="http://schemas.microsoft.com/office/drawing/2014/main" id="{3FE7746D-A117-4C92-920F-D7A18DA58B60}"/>
              </a:ext>
            </a:extLst>
          </xdr:cNvPr>
          <xdr:cNvGraphicFramePr>
            <a:graphicFrameLocks/>
          </xdr:cNvGraphicFramePr>
        </xdr:nvGraphicFramePr>
        <xdr:xfrm>
          <a:off x="2203450" y="9461500"/>
          <a:ext cx="7038976" cy="45593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 name="Chart 6">
            <a:extLst>
              <a:ext uri="{FF2B5EF4-FFF2-40B4-BE49-F238E27FC236}">
                <a16:creationId xmlns:a16="http://schemas.microsoft.com/office/drawing/2014/main" id="{9AE5796E-89F9-4A43-876E-6840283F56AE}"/>
              </a:ext>
            </a:extLst>
          </xdr:cNvPr>
          <xdr:cNvGraphicFramePr>
            <a:graphicFrameLocks/>
          </xdr:cNvGraphicFramePr>
        </xdr:nvGraphicFramePr>
        <xdr:xfrm>
          <a:off x="2178050" y="14224000"/>
          <a:ext cx="7086600" cy="34544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288924</xdr:colOff>
      <xdr:row>2</xdr:row>
      <xdr:rowOff>19050</xdr:rowOff>
    </xdr:from>
    <xdr:to>
      <xdr:col>12</xdr:col>
      <xdr:colOff>196850</xdr:colOff>
      <xdr:row>12</xdr:row>
      <xdr:rowOff>95250</xdr:rowOff>
    </xdr:to>
    <xdr:graphicFrame macro="">
      <xdr:nvGraphicFramePr>
        <xdr:cNvPr id="4" name="Chart 3">
          <a:extLst>
            <a:ext uri="{FF2B5EF4-FFF2-40B4-BE49-F238E27FC236}">
              <a16:creationId xmlns:a16="http://schemas.microsoft.com/office/drawing/2014/main" id="{6EEE20B7-F3CF-9175-71C1-50F6333CC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193675</xdr:colOff>
      <xdr:row>1</xdr:row>
      <xdr:rowOff>95250</xdr:rowOff>
    </xdr:from>
    <xdr:to>
      <xdr:col>7</xdr:col>
      <xdr:colOff>546100</xdr:colOff>
      <xdr:row>12</xdr:row>
      <xdr:rowOff>82550</xdr:rowOff>
    </xdr:to>
    <xdr:graphicFrame macro="">
      <xdr:nvGraphicFramePr>
        <xdr:cNvPr id="2" name="Chart 1">
          <a:extLst>
            <a:ext uri="{FF2B5EF4-FFF2-40B4-BE49-F238E27FC236}">
              <a16:creationId xmlns:a16="http://schemas.microsoft.com/office/drawing/2014/main" id="{404E7EAE-19B2-CAF0-CC94-83D31649A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130174</xdr:colOff>
      <xdr:row>1</xdr:row>
      <xdr:rowOff>146050</xdr:rowOff>
    </xdr:from>
    <xdr:to>
      <xdr:col>11</xdr:col>
      <xdr:colOff>184150</xdr:colOff>
      <xdr:row>16</xdr:row>
      <xdr:rowOff>127000</xdr:rowOff>
    </xdr:to>
    <xdr:graphicFrame macro="">
      <xdr:nvGraphicFramePr>
        <xdr:cNvPr id="3" name="Chart 2">
          <a:extLst>
            <a:ext uri="{FF2B5EF4-FFF2-40B4-BE49-F238E27FC236}">
              <a16:creationId xmlns:a16="http://schemas.microsoft.com/office/drawing/2014/main" id="{94AF21B9-57CD-87F5-13C1-AE9385E74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206374</xdr:colOff>
      <xdr:row>17</xdr:row>
      <xdr:rowOff>171450</xdr:rowOff>
    </xdr:from>
    <xdr:to>
      <xdr:col>11</xdr:col>
      <xdr:colOff>196849</xdr:colOff>
      <xdr:row>32</xdr:row>
      <xdr:rowOff>152400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FB6EF852-6ABC-FF22-ADF1-5D45C03AD9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423024" y="3486150"/>
              <a:ext cx="5032375"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263524</xdr:colOff>
      <xdr:row>3</xdr:row>
      <xdr:rowOff>133350</xdr:rowOff>
    </xdr:from>
    <xdr:to>
      <xdr:col>21</xdr:col>
      <xdr:colOff>596900</xdr:colOff>
      <xdr:row>28</xdr:row>
      <xdr:rowOff>88900</xdr:rowOff>
    </xdr:to>
    <xdr:graphicFrame macro="">
      <xdr:nvGraphicFramePr>
        <xdr:cNvPr id="2" name="Chart 1">
          <a:extLst>
            <a:ext uri="{FF2B5EF4-FFF2-40B4-BE49-F238E27FC236}">
              <a16:creationId xmlns:a16="http://schemas.microsoft.com/office/drawing/2014/main" id="{85A4A1C2-7D22-2E1A-0E28-EF250C43C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930275</xdr:colOff>
      <xdr:row>41</xdr:row>
      <xdr:rowOff>50800</xdr:rowOff>
    </xdr:from>
    <xdr:to>
      <xdr:col>13</xdr:col>
      <xdr:colOff>552450</xdr:colOff>
      <xdr:row>51</xdr:row>
      <xdr:rowOff>127000</xdr:rowOff>
    </xdr:to>
    <xdr:graphicFrame macro="">
      <xdr:nvGraphicFramePr>
        <xdr:cNvPr id="3" name="Chart 2">
          <a:extLst>
            <a:ext uri="{FF2B5EF4-FFF2-40B4-BE49-F238E27FC236}">
              <a16:creationId xmlns:a16="http://schemas.microsoft.com/office/drawing/2014/main" id="{E8A4628D-1BAB-C81C-8BE3-C6D217AD3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60325</xdr:colOff>
      <xdr:row>32</xdr:row>
      <xdr:rowOff>63500</xdr:rowOff>
    </xdr:from>
    <xdr:to>
      <xdr:col>10</xdr:col>
      <xdr:colOff>47625</xdr:colOff>
      <xdr:row>43</xdr:row>
      <xdr:rowOff>120650</xdr:rowOff>
    </xdr:to>
    <xdr:graphicFrame macro="">
      <xdr:nvGraphicFramePr>
        <xdr:cNvPr id="2" name="Chart 1">
          <a:extLst>
            <a:ext uri="{FF2B5EF4-FFF2-40B4-BE49-F238E27FC236}">
              <a16:creationId xmlns:a16="http://schemas.microsoft.com/office/drawing/2014/main" id="{9392C9B4-87C2-249D-451F-255C2244A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6BE5E3-2F0B-4D2B-982A-0C1E3D4A5726}" name="Table1" displayName="Table1" ref="A1:AD373" totalsRowShown="0">
  <autoFilter ref="A1:AD373" xr:uid="{138E181B-566A-4D11-9202-3D14B3338661}"/>
  <tableColumns count="30">
    <tableColumn id="1" xr3:uid="{C224DD24-0A35-405E-ADE3-CF923F5E0C3E}" name="Sector"/>
    <tableColumn id="2" xr3:uid="{B99F2D34-C1B2-412A-8747-E9571A15E5B5}" name="Year"/>
    <tableColumn id="3" xr3:uid="{588BA455-77A9-49E8-AE49-8E3E980B85AA}" name="Month"/>
    <tableColumn id="4" xr3:uid="{BC696C3C-1E27-4E24-83D5-E6D3C2E3622F}" name="Cereals and products"/>
    <tableColumn id="5" xr3:uid="{00387F0E-5FD0-4B7D-80FD-9028B9408EB9}" name="Meat and fish"/>
    <tableColumn id="6" xr3:uid="{A89E9B23-193A-45B0-94AE-B7CD821B0E11}" name="Egg"/>
    <tableColumn id="7" xr3:uid="{46F8D370-3CD8-46F5-BC85-EA607078E621}" name="Milk and products"/>
    <tableColumn id="8" xr3:uid="{BF2CA54D-2632-4F90-81EA-E42F9080D7D5}" name="Oils and fats"/>
    <tableColumn id="9" xr3:uid="{9261246C-7BEE-404F-94D4-5D75B0E80488}" name="Fruits"/>
    <tableColumn id="10" xr3:uid="{4C4E2559-37B3-4383-BE1F-89D11CB5B855}" name="Vegetables"/>
    <tableColumn id="11" xr3:uid="{7736438E-0CE7-4C6A-9D7C-341440085C3B}" name="Pulses and products"/>
    <tableColumn id="12" xr3:uid="{5435BE8C-DBDB-450D-A339-DBB260C4E1AE}" name="Sugar and Confectionery"/>
    <tableColumn id="13" xr3:uid="{36385D48-3AD6-4C7F-9A0B-A66F3B8A196E}" name="Spices"/>
    <tableColumn id="14" xr3:uid="{259CD9A2-F965-4970-AE61-9169B778877D}" name="Non  alcoholic beverages"/>
    <tableColumn id="15" xr3:uid="{893FE24F-9725-4E21-B506-9FD7653841BB}" name="Prepared meals, snacks, sweets etc."/>
    <tableColumn id="16" xr3:uid="{0106203C-196B-4BF6-B6DC-0FD7EC91E672}" name="Food and beverages"/>
    <tableColumn id="17" xr3:uid="{6E1CB13C-6BA7-4616-ADB0-21F749C4F17D}" name="Pan, tobacco and intoxicants"/>
    <tableColumn id="18" xr3:uid="{EF3289B4-49C4-4901-AE5E-13D7258586F0}" name="Clothing"/>
    <tableColumn id="19" xr3:uid="{E0B5F2AF-D50E-47A8-B7BD-7C6258DE286D}" name="Footwear"/>
    <tableColumn id="20" xr3:uid="{2F1BCD63-7BB6-4510-B18E-503D5E20D4C2}" name="Clothing and footwear"/>
    <tableColumn id="21" xr3:uid="{4CBCA92E-6BB0-4DF3-9732-2C798808F23E}" name="Housing"/>
    <tableColumn id="22" xr3:uid="{2CCE91D8-9D79-44F2-9FB4-8772A351DE44}" name="Fuel and light"/>
    <tableColumn id="23" xr3:uid="{55206EF0-3C71-49D7-9E22-F63B96A06578}" name="Household goods and services"/>
    <tableColumn id="24" xr3:uid="{92DA91E6-56C7-4692-B4DC-0264BF372F9F}" name="Health"/>
    <tableColumn id="25" xr3:uid="{3D09DB71-05F0-4180-BD60-F050786A2A3E}" name="Transport and communication"/>
    <tableColumn id="26" xr3:uid="{9BC001BA-538D-4574-ACC0-D631D64E902E}" name="Recreation and amusement"/>
    <tableColumn id="27" xr3:uid="{468D0E53-64ED-4E5A-A6A1-A7DF6DCB89F4}" name="Education"/>
    <tableColumn id="28" xr3:uid="{67483ADE-4202-4590-9DEB-BDF4DFF8D393}" name="Personal care and effects"/>
    <tableColumn id="29" xr3:uid="{CC5B138C-CFFC-4BBC-AAE7-6E7E0AB0E33D}" name="Miscellaneous"/>
    <tableColumn id="30" xr3:uid="{876177A9-3D9B-449E-84B1-E4B4B51CEED0}" name="General index"/>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77F5F-FA87-4376-9670-E34D051231AD}">
  <sheetPr>
    <tabColor rgb="FF002060"/>
  </sheetPr>
  <dimension ref="B2:D10"/>
  <sheetViews>
    <sheetView showGridLines="0" tabSelected="1" workbookViewId="0">
      <selection activeCell="G6" sqref="G6"/>
    </sheetView>
  </sheetViews>
  <sheetFormatPr defaultRowHeight="14.5" x14ac:dyDescent="0.35"/>
  <cols>
    <col min="2" max="2" width="17.81640625" bestFit="1" customWidth="1"/>
    <col min="3" max="3" width="48.08984375" bestFit="1" customWidth="1"/>
    <col min="4" max="4" width="26.08984375" bestFit="1" customWidth="1"/>
  </cols>
  <sheetData>
    <row r="2" spans="2:4" ht="18" x14ac:dyDescent="0.35">
      <c r="B2" s="51" t="s">
        <v>213</v>
      </c>
      <c r="C2" s="51"/>
      <c r="D2" s="51"/>
    </row>
    <row r="3" spans="2:4" x14ac:dyDescent="0.35">
      <c r="B3" s="52" t="s">
        <v>214</v>
      </c>
      <c r="C3" s="52"/>
      <c r="D3" s="52"/>
    </row>
    <row r="5" spans="2:4" ht="34" customHeight="1" x14ac:dyDescent="0.35">
      <c r="B5" s="38" t="s">
        <v>215</v>
      </c>
      <c r="C5" s="39" t="s">
        <v>216</v>
      </c>
      <c r="D5" s="40"/>
    </row>
    <row r="6" spans="2:4" ht="36" customHeight="1" x14ac:dyDescent="0.35">
      <c r="B6" s="41" t="s">
        <v>217</v>
      </c>
      <c r="C6" s="42" t="s">
        <v>218</v>
      </c>
      <c r="D6" s="42" t="s">
        <v>227</v>
      </c>
    </row>
    <row r="7" spans="2:4" ht="30.5" customHeight="1" x14ac:dyDescent="0.35">
      <c r="B7" s="43" t="s">
        <v>219</v>
      </c>
      <c r="C7" s="44" t="s">
        <v>220</v>
      </c>
      <c r="D7" s="44" t="s">
        <v>228</v>
      </c>
    </row>
    <row r="8" spans="2:4" ht="31" customHeight="1" x14ac:dyDescent="0.35">
      <c r="B8" s="45" t="s">
        <v>221</v>
      </c>
      <c r="C8" s="46" t="s">
        <v>222</v>
      </c>
      <c r="D8" s="46" t="s">
        <v>229</v>
      </c>
    </row>
    <row r="9" spans="2:4" ht="29.5" customHeight="1" x14ac:dyDescent="0.35">
      <c r="B9" s="47" t="s">
        <v>223</v>
      </c>
      <c r="C9" s="48" t="s">
        <v>224</v>
      </c>
      <c r="D9" s="48" t="s">
        <v>230</v>
      </c>
    </row>
    <row r="10" spans="2:4" ht="32.5" customHeight="1" x14ac:dyDescent="0.35">
      <c r="B10" s="49" t="s">
        <v>225</v>
      </c>
      <c r="C10" s="50" t="s">
        <v>226</v>
      </c>
      <c r="D10" s="50" t="s">
        <v>231</v>
      </c>
    </row>
  </sheetData>
  <mergeCells count="2">
    <mergeCell ref="B2:D2"/>
    <mergeCell ref="B3:D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861A3-0405-4193-B7CA-966F664BD25B}">
  <dimension ref="A1:AD373"/>
  <sheetViews>
    <sheetView topLeftCell="O1" zoomScale="99" zoomScaleNormal="99" workbookViewId="0">
      <selection activeCell="B370" sqref="B370"/>
    </sheetView>
  </sheetViews>
  <sheetFormatPr defaultRowHeight="14.5" x14ac:dyDescent="0.35"/>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3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5">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35">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35">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35">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35">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5">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3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3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3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3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3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autoFilter ref="A1:AD373" xr:uid="{234861A3-0405-4193-B7CA-966F664BD25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E181B-566A-4D11-9202-3D14B3338661}">
  <dimension ref="A1:AD373"/>
  <sheetViews>
    <sheetView workbookViewId="0">
      <selection activeCell="D9" sqref="D9"/>
    </sheetView>
  </sheetViews>
  <sheetFormatPr defaultRowHeight="14.5" x14ac:dyDescent="0.35"/>
  <cols>
    <col min="4" max="4" width="20" customWidth="1"/>
    <col min="5" max="5" width="13.54296875" customWidth="1"/>
    <col min="7" max="7" width="17" customWidth="1"/>
    <col min="8" max="8" width="12.81640625" customWidth="1"/>
    <col min="10" max="10" width="11.81640625" customWidth="1"/>
    <col min="11" max="11" width="19.08984375" customWidth="1"/>
    <col min="12" max="12" width="22.453125" customWidth="1"/>
    <col min="14" max="14" width="22.81640625" customWidth="1"/>
    <col min="15" max="15" width="32.26953125" customWidth="1"/>
    <col min="16" max="16" width="18.81640625" customWidth="1"/>
    <col min="17" max="17" width="26.08984375" customWidth="1"/>
    <col min="18" max="18" width="9.54296875" customWidth="1"/>
    <col min="19" max="19" width="10.36328125" customWidth="1"/>
    <col min="20" max="20" width="20.36328125" customWidth="1"/>
    <col min="21" max="21" width="9.36328125" customWidth="1"/>
    <col min="22" max="22" width="13.453125" customWidth="1"/>
    <col min="23" max="23" width="27.08984375" customWidth="1"/>
    <col min="25" max="25" width="26.90625" customWidth="1"/>
    <col min="26" max="26" width="25" customWidth="1"/>
    <col min="27" max="27" width="10.90625" customWidth="1"/>
    <col min="28" max="28" width="23.26953125" customWidth="1"/>
    <col min="29" max="29" width="14.453125" customWidth="1"/>
    <col min="30" max="30" width="14.08984375" bestFit="1" customWidth="1"/>
  </cols>
  <sheetData>
    <row r="1" spans="1:30" x14ac:dyDescent="0.35">
      <c r="A1" t="s">
        <v>0</v>
      </c>
      <c r="B1" t="s">
        <v>1</v>
      </c>
      <c r="C1" t="s">
        <v>2</v>
      </c>
      <c r="D1" t="s">
        <v>3</v>
      </c>
      <c r="E1" t="s">
        <v>4</v>
      </c>
      <c r="F1" t="s">
        <v>5</v>
      </c>
      <c r="G1" t="s">
        <v>6</v>
      </c>
      <c r="H1" t="s">
        <v>7</v>
      </c>
      <c r="I1" t="s">
        <v>8</v>
      </c>
      <c r="J1" t="s">
        <v>9</v>
      </c>
      <c r="K1" t="s">
        <v>10</v>
      </c>
      <c r="L1" t="s">
        <v>11</v>
      </c>
      <c r="M1" t="s">
        <v>12</v>
      </c>
      <c r="N1" t="s">
        <v>53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3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5">
      <c r="A32" t="s">
        <v>30</v>
      </c>
      <c r="B32">
        <v>2013</v>
      </c>
      <c r="C32" t="s">
        <v>45</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5">
      <c r="A46" t="s">
        <v>34</v>
      </c>
      <c r="B46">
        <v>2014</v>
      </c>
      <c r="C46" t="s">
        <v>36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5">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35">
      <c r="A261" t="s">
        <v>33</v>
      </c>
      <c r="B261">
        <v>2020</v>
      </c>
      <c r="C261" t="s">
        <v>37</v>
      </c>
      <c r="D261">
        <v>151.80000000000001</v>
      </c>
      <c r="E261">
        <f>AVERAGE(E258:E259)</f>
        <v>167.25</v>
      </c>
      <c r="F261">
        <v>151.9</v>
      </c>
      <c r="G261">
        <v>155.5</v>
      </c>
      <c r="H261">
        <v>131.6</v>
      </c>
      <c r="I261">
        <v>152.9</v>
      </c>
      <c r="J261">
        <v>180</v>
      </c>
      <c r="K261">
        <v>150.80000000000001</v>
      </c>
      <c r="L261">
        <v>121.2</v>
      </c>
      <c r="M261">
        <v>154</v>
      </c>
      <c r="N261">
        <v>133.5</v>
      </c>
      <c r="O261">
        <f>AVERAGE(O258:O259)</f>
        <v>159.35</v>
      </c>
      <c r="P261">
        <f t="shared" ref="P261:T262" si="0">AVERAGE(P258:P259)</f>
        <v>149.5</v>
      </c>
      <c r="Q261">
        <f t="shared" si="0"/>
        <v>172.25</v>
      </c>
      <c r="R261">
        <f t="shared" si="0"/>
        <v>149.44999999999999</v>
      </c>
      <c r="S261">
        <f t="shared" si="0"/>
        <v>137.85000000000002</v>
      </c>
      <c r="T261">
        <f t="shared" si="0"/>
        <v>147.69999999999999</v>
      </c>
      <c r="U261">
        <v>155.6</v>
      </c>
      <c r="V261">
        <v>155.6</v>
      </c>
      <c r="W261">
        <v>155.6</v>
      </c>
      <c r="X261">
        <v>155.6</v>
      </c>
      <c r="Y261">
        <v>155.6</v>
      </c>
      <c r="Z261">
        <v>155.6</v>
      </c>
      <c r="AA261">
        <v>155.6</v>
      </c>
      <c r="AB261">
        <v>155.6</v>
      </c>
      <c r="AC261">
        <v>155.6</v>
      </c>
      <c r="AD261">
        <v>155.6</v>
      </c>
    </row>
    <row r="262" spans="1:30" x14ac:dyDescent="0.35">
      <c r="A262" t="s">
        <v>34</v>
      </c>
      <c r="B262">
        <v>2020</v>
      </c>
      <c r="C262" t="s">
        <v>37</v>
      </c>
      <c r="D262">
        <v>148.69999999999999</v>
      </c>
      <c r="E262">
        <f>AVERAGE(E259:E260)</f>
        <v>167</v>
      </c>
      <c r="F262">
        <v>148.80000000000001</v>
      </c>
      <c r="G262">
        <v>155.6</v>
      </c>
      <c r="H262">
        <v>135.1</v>
      </c>
      <c r="I262">
        <v>149.9</v>
      </c>
      <c r="J262">
        <v>168.6</v>
      </c>
      <c r="K262">
        <v>150.4</v>
      </c>
      <c r="L262">
        <v>120.3</v>
      </c>
      <c r="M262">
        <v>157.1</v>
      </c>
      <c r="N262">
        <v>136.80000000000001</v>
      </c>
      <c r="O262">
        <f>AVERAGE(O259:O260)</f>
        <v>159.6</v>
      </c>
      <c r="P262">
        <f t="shared" si="0"/>
        <v>149.5</v>
      </c>
      <c r="Q262">
        <f t="shared" si="0"/>
        <v>171.2</v>
      </c>
      <c r="R262">
        <f t="shared" si="0"/>
        <v>151.19999999999999</v>
      </c>
      <c r="S262">
        <f t="shared" si="0"/>
        <v>141.9</v>
      </c>
      <c r="T262">
        <f t="shared" si="0"/>
        <v>149.80000000000001</v>
      </c>
      <c r="U262">
        <v>155.6</v>
      </c>
      <c r="V262">
        <v>155.6</v>
      </c>
      <c r="W262">
        <v>155.6</v>
      </c>
      <c r="X262">
        <v>155.6</v>
      </c>
      <c r="Y262">
        <v>155.6</v>
      </c>
      <c r="Z262">
        <v>155.6</v>
      </c>
      <c r="AA262">
        <v>155.6</v>
      </c>
      <c r="AB262">
        <v>155.6</v>
      </c>
      <c r="AC262">
        <v>155.6</v>
      </c>
      <c r="AD262">
        <v>155.6</v>
      </c>
    </row>
    <row r="263" spans="1:30" x14ac:dyDescent="0.35">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35">
      <c r="A264" t="s">
        <v>33</v>
      </c>
      <c r="B264">
        <v>2020</v>
      </c>
      <c r="C264" t="s">
        <v>38</v>
      </c>
      <c r="D264">
        <f>AVERAGE(D261:D262)</f>
        <v>150.25</v>
      </c>
      <c r="E264" s="3">
        <f t="shared" ref="E264:E265" si="1">AVERAGE(E261:E262)</f>
        <v>167.125</v>
      </c>
      <c r="F264">
        <f>AVERAGE(F261:F262)</f>
        <v>150.35000000000002</v>
      </c>
      <c r="G264">
        <f>AVERAGE(G261:G262)</f>
        <v>155.55000000000001</v>
      </c>
      <c r="H264">
        <f t="shared" ref="H264:T265" si="2">AVERAGE(H261:H262)</f>
        <v>133.35</v>
      </c>
      <c r="I264">
        <f t="shared" si="2"/>
        <v>151.4</v>
      </c>
      <c r="J264">
        <f t="shared" si="2"/>
        <v>174.3</v>
      </c>
      <c r="K264">
        <f t="shared" si="2"/>
        <v>150.60000000000002</v>
      </c>
      <c r="L264">
        <f t="shared" si="2"/>
        <v>120.75</v>
      </c>
      <c r="M264">
        <f t="shared" si="2"/>
        <v>155.55000000000001</v>
      </c>
      <c r="N264">
        <f t="shared" si="2"/>
        <v>135.15</v>
      </c>
      <c r="O264">
        <f t="shared" si="2"/>
        <v>159.47499999999999</v>
      </c>
      <c r="P264">
        <f t="shared" si="2"/>
        <v>149.5</v>
      </c>
      <c r="Q264">
        <f t="shared" si="2"/>
        <v>171.72499999999999</v>
      </c>
      <c r="R264">
        <f t="shared" si="2"/>
        <v>150.32499999999999</v>
      </c>
      <c r="S264">
        <f t="shared" si="2"/>
        <v>139.875</v>
      </c>
      <c r="T264">
        <f t="shared" si="2"/>
        <v>148.75</v>
      </c>
      <c r="U264">
        <v>155.6</v>
      </c>
      <c r="V264">
        <v>155.6</v>
      </c>
      <c r="W264">
        <v>155.6</v>
      </c>
      <c r="X264">
        <v>155.6</v>
      </c>
      <c r="Y264">
        <v>155.6</v>
      </c>
      <c r="Z264">
        <v>155.6</v>
      </c>
      <c r="AA264">
        <v>155.6</v>
      </c>
      <c r="AB264">
        <v>155.6</v>
      </c>
      <c r="AC264">
        <v>155.6</v>
      </c>
      <c r="AD264">
        <v>155.6</v>
      </c>
    </row>
    <row r="265" spans="1:30" x14ac:dyDescent="0.35">
      <c r="A265" t="s">
        <v>34</v>
      </c>
      <c r="B265">
        <v>2020</v>
      </c>
      <c r="C265" t="s">
        <v>38</v>
      </c>
      <c r="D265">
        <f>AVERAGE(D262:D263)</f>
        <v>148.69999999999999</v>
      </c>
      <c r="E265">
        <f t="shared" si="1"/>
        <v>167</v>
      </c>
      <c r="F265">
        <f>AVERAGE(F262:F263)</f>
        <v>148.80000000000001</v>
      </c>
      <c r="G265">
        <f>AVERAGE(G262:G263)</f>
        <v>155.6</v>
      </c>
      <c r="H265">
        <f t="shared" si="2"/>
        <v>135.1</v>
      </c>
      <c r="I265">
        <f t="shared" si="2"/>
        <v>149.9</v>
      </c>
      <c r="J265">
        <f t="shared" si="2"/>
        <v>168.6</v>
      </c>
      <c r="K265">
        <f t="shared" si="2"/>
        <v>150.4</v>
      </c>
      <c r="L265">
        <f t="shared" si="2"/>
        <v>120.3</v>
      </c>
      <c r="M265">
        <f t="shared" si="2"/>
        <v>157.1</v>
      </c>
      <c r="N265">
        <f t="shared" si="2"/>
        <v>136.80000000000001</v>
      </c>
      <c r="O265">
        <f t="shared" si="2"/>
        <v>159.6</v>
      </c>
      <c r="P265">
        <f t="shared" si="2"/>
        <v>149.5</v>
      </c>
      <c r="Q265">
        <f t="shared" si="2"/>
        <v>171.2</v>
      </c>
      <c r="R265">
        <f t="shared" si="2"/>
        <v>151.19999999999999</v>
      </c>
      <c r="S265">
        <f t="shared" si="2"/>
        <v>141.9</v>
      </c>
      <c r="T265">
        <f t="shared" si="2"/>
        <v>149.80000000000001</v>
      </c>
      <c r="U265">
        <v>155.6</v>
      </c>
      <c r="V265">
        <v>155.6</v>
      </c>
      <c r="W265">
        <v>155.6</v>
      </c>
      <c r="X265">
        <v>155.6</v>
      </c>
      <c r="Y265">
        <v>155.6</v>
      </c>
      <c r="Z265">
        <v>155.6</v>
      </c>
      <c r="AA265">
        <v>155.6</v>
      </c>
      <c r="AB265">
        <v>155.6</v>
      </c>
      <c r="AC265">
        <v>155.6</v>
      </c>
      <c r="AD265">
        <v>155.6</v>
      </c>
    </row>
    <row r="266" spans="1:30" x14ac:dyDescent="0.3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54</v>
      </c>
      <c r="V293">
        <v>156</v>
      </c>
      <c r="W293">
        <v>154.80000000000001</v>
      </c>
      <c r="X293">
        <v>164.6</v>
      </c>
      <c r="Y293">
        <v>151.30000000000001</v>
      </c>
      <c r="Z293">
        <v>157.80000000000001</v>
      </c>
      <c r="AA293">
        <v>163.80000000000001</v>
      </c>
      <c r="AB293">
        <v>153.1</v>
      </c>
      <c r="AC293">
        <v>157.30000000000001</v>
      </c>
      <c r="AD293">
        <v>156.69999999999999</v>
      </c>
    </row>
    <row r="294" spans="1:30" x14ac:dyDescent="0.3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54</v>
      </c>
      <c r="V296">
        <v>156</v>
      </c>
      <c r="W296">
        <v>155.5</v>
      </c>
      <c r="X296">
        <v>165.3</v>
      </c>
      <c r="Y296">
        <v>151.69999999999999</v>
      </c>
      <c r="Z296">
        <v>158.6</v>
      </c>
      <c r="AA296">
        <v>164.1</v>
      </c>
      <c r="AB296">
        <v>154.6</v>
      </c>
      <c r="AC296">
        <v>158</v>
      </c>
      <c r="AD296">
        <v>157.6</v>
      </c>
    </row>
    <row r="297" spans="1:30" x14ac:dyDescent="0.3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54</v>
      </c>
      <c r="V368">
        <v>181.5</v>
      </c>
      <c r="W368">
        <v>179.1</v>
      </c>
      <c r="X368">
        <v>187.2</v>
      </c>
      <c r="Y368">
        <v>169.4</v>
      </c>
      <c r="Z368">
        <v>173.2</v>
      </c>
      <c r="AA368">
        <v>179.4</v>
      </c>
      <c r="AB368">
        <v>183.8</v>
      </c>
      <c r="AC368">
        <v>178.9</v>
      </c>
      <c r="AD368">
        <v>178.8</v>
      </c>
    </row>
    <row r="369" spans="1:30" x14ac:dyDescent="0.3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54</v>
      </c>
      <c r="V371">
        <v>182.5</v>
      </c>
      <c r="W371">
        <v>179.8</v>
      </c>
      <c r="X371">
        <v>187.8</v>
      </c>
      <c r="Y371">
        <v>169.7</v>
      </c>
      <c r="Z371">
        <v>173.8</v>
      </c>
      <c r="AA371">
        <v>180.3</v>
      </c>
      <c r="AB371">
        <v>184.9</v>
      </c>
      <c r="AC371">
        <v>179.5</v>
      </c>
      <c r="AD371">
        <v>179.8</v>
      </c>
    </row>
    <row r="372" spans="1:30" x14ac:dyDescent="0.3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F947B-E622-4895-8E0B-6EED4F693CE8}">
  <dimension ref="A1:E24"/>
  <sheetViews>
    <sheetView topLeftCell="A5" workbookViewId="0">
      <selection activeCell="C5" sqref="C5"/>
    </sheetView>
  </sheetViews>
  <sheetFormatPr defaultRowHeight="14.5" x14ac:dyDescent="0.35"/>
  <cols>
    <col min="1" max="1" width="25.26953125" bestFit="1" customWidth="1"/>
    <col min="2" max="2" width="12.6328125" bestFit="1" customWidth="1"/>
    <col min="3" max="3" width="13.7265625" customWidth="1"/>
    <col min="4" max="4" width="35.81640625" customWidth="1"/>
  </cols>
  <sheetData>
    <row r="1" spans="1:5" ht="27.5" customHeight="1" x14ac:dyDescent="0.35">
      <c r="A1" s="53" t="s">
        <v>64</v>
      </c>
      <c r="B1" s="54"/>
      <c r="C1" s="54"/>
      <c r="D1" s="54"/>
      <c r="E1" s="54"/>
    </row>
    <row r="2" spans="1:5" x14ac:dyDescent="0.35">
      <c r="A2" s="1"/>
      <c r="B2" s="1"/>
      <c r="C2" s="1"/>
      <c r="D2" s="1"/>
      <c r="E2" s="1"/>
    </row>
    <row r="3" spans="1:5" x14ac:dyDescent="0.35">
      <c r="A3" s="1"/>
      <c r="B3" s="1"/>
      <c r="C3" s="1"/>
      <c r="D3" s="1"/>
      <c r="E3" s="1"/>
    </row>
    <row r="4" spans="1:5" x14ac:dyDescent="0.35">
      <c r="A4" s="9" t="s">
        <v>55</v>
      </c>
      <c r="B4" s="9" t="s">
        <v>56</v>
      </c>
      <c r="C4" s="9" t="s">
        <v>57</v>
      </c>
      <c r="D4" s="12" t="s">
        <v>66</v>
      </c>
    </row>
    <row r="5" spans="1:5" ht="87" x14ac:dyDescent="0.35">
      <c r="A5" s="4" t="s">
        <v>49</v>
      </c>
      <c r="B5" s="5">
        <f>AVERAGE(
  AVERAGEIFS(Raw_Data!D:D,Raw_Data!A:A,"Rural+Urban",Raw_Data!B:B,2023,Raw_Data!C:C,"May"),
  AVERAGEIFS(Raw_Data!E:E,Raw_Data!A:A,"Rural+Urban",Raw_Data!B:B,2023,Raw_Data!C:C,"May"),
  AVERAGEIFS(Raw_Data!F:F,Raw_Data!A:A,"Rural+Urban",Raw_Data!B:B,2023,Raw_Data!C:C,"May"),
  AVERAGEIFS(Raw_Data!G:G,Raw_Data!A:A,"Rural+Urban",Raw_Data!B:B,2023,Raw_Data!C:C,"May"),
  AVERAGEIFS(Raw_Data!H:H,Raw_Data!A:A,"Rural+Urban",Raw_Data!B:B,2023,Raw_Data!C:C,"May"),
  AVERAGEIFS(Raw_Data!I:I,Raw_Data!A:A,"Rural+Urban",Raw_Data!B:B,2023,Raw_Data!C:C,"May"),
  AVERAGEIFS(Raw_Data!J:J,Raw_Data!A:A,"Rural+Urban",Raw_Data!B:B,2023,Raw_Data!C:C,"May"),
  AVERAGEIFS(Raw_Data!K:K,Raw_Data!A:A,"Rural+Urban",Raw_Data!B:B,2023,Raw_Data!C:C,"May"),
  AVERAGEIFS(Raw_Data!L:L,Raw_Data!A:A,"Rural+Urban",Raw_Data!B:B,2023,Raw_Data!C:C,"May"),
  AVERAGEIFS(Raw_Data!M:M,Raw_Data!A:A,"Rural+Urban",Raw_Data!B:B,2023,Raw_Data!C:C,"May"),
  AVERAGEIFS(Raw_Data!N:N,Raw_Data!A:A,"Rural+Urban",Raw_Data!B:B,2023,Raw_Data!C:C,"May"),
  AVERAGEIFS(Raw_Data!O:O,Raw_Data!A:A,"Rural+Urban",Raw_Data!B:B,2023,Raw_Data!C:C,"May"),
  AVERAGEIFS(Raw_Data!P:P,Raw_Data!A:A,"Rural+Urban",Raw_Data!B:B,2023,Raw_Data!C:C,"May")
)</f>
        <v>177.45384615384617</v>
      </c>
      <c r="C5" s="6">
        <f t="shared" ref="C5:C16" si="0">B5/SUM($B$5:$B$16)</f>
        <v>8.2301105957902257E-2</v>
      </c>
      <c r="D5" s="13" t="s">
        <v>67</v>
      </c>
    </row>
    <row r="6" spans="1:5" x14ac:dyDescent="0.35">
      <c r="A6" s="4" t="s">
        <v>58</v>
      </c>
      <c r="B6" s="4">
        <f>AVERAGE(
  AVERAGEIFS(Raw_Data!R:R,Raw_Data!A:A,"Rural+Urban",Raw_Data!B:B,2023,Raw_Data!C:C,"May"),
  AVERAGEIFS(Raw_Data!S:S,Raw_Data!A:A,"Rural+Urban",Raw_Data!B:B,2023,Raw_Data!C:C,"May"),
  AVERAGEIFS(Raw_Data!T:T,Raw_Data!A:A,"Rural+Urban",Raw_Data!B:B,2023,Raw_Data!C:C,"May")
)</f>
        <v>184.4</v>
      </c>
      <c r="C6" s="6">
        <f t="shared" si="0"/>
        <v>8.5522654298965398E-2</v>
      </c>
      <c r="D6" s="13" t="s">
        <v>68</v>
      </c>
    </row>
    <row r="7" spans="1:5" x14ac:dyDescent="0.35">
      <c r="A7" s="4" t="s">
        <v>20</v>
      </c>
      <c r="B7" s="4">
        <f>AVERAGEIFS(Raw_Data!U:U,Raw_Data!A:A,"Rural+Urban",Raw_Data!B:B,2023,Raw_Data!C:C,"May")</f>
        <v>175.6</v>
      </c>
      <c r="C7" s="6">
        <f t="shared" si="0"/>
        <v>8.1441312879058148E-2</v>
      </c>
      <c r="D7" s="13" t="s">
        <v>20</v>
      </c>
    </row>
    <row r="8" spans="1:5" x14ac:dyDescent="0.35">
      <c r="A8" s="4" t="s">
        <v>50</v>
      </c>
      <c r="B8" s="4">
        <f>AVERAGEIFS(Raw_Data!V:V,Raw_Data!A:A,"Rural+Urban",Raw_Data!B:B,2023,Raw_Data!C:C,"May")</f>
        <v>182.8</v>
      </c>
      <c r="C8" s="6">
        <f t="shared" si="0"/>
        <v>8.4780592222618634E-2</v>
      </c>
      <c r="D8" s="13" t="s">
        <v>21</v>
      </c>
    </row>
    <row r="9" spans="1:5" x14ac:dyDescent="0.35">
      <c r="A9" s="4" t="s">
        <v>51</v>
      </c>
      <c r="B9" s="4">
        <f>AVERAGEIFS(Raw_Data!X:X,Raw_Data!A:A,"Rural+Urban",Raw_Data!B:B,2023,Raw_Data!C:C,"May")</f>
        <v>185.7</v>
      </c>
      <c r="C9" s="6">
        <f t="shared" si="0"/>
        <v>8.6125579735997146E-2</v>
      </c>
      <c r="D9" s="13" t="s">
        <v>23</v>
      </c>
    </row>
    <row r="10" spans="1:5" x14ac:dyDescent="0.35">
      <c r="A10" s="4" t="s">
        <v>59</v>
      </c>
      <c r="B10" s="4">
        <f>AVERAGEIFS(Raw_Data!Y:Y,Raw_Data!A:A,"Rural+Urban",Raw_Data!B:B,2023,Raw_Data!C:C,"May")</f>
        <v>164.8</v>
      </c>
      <c r="C10" s="6">
        <f t="shared" si="0"/>
        <v>7.6432393863717446E-2</v>
      </c>
      <c r="D10" s="13" t="s">
        <v>24</v>
      </c>
    </row>
    <row r="11" spans="1:5" x14ac:dyDescent="0.35">
      <c r="A11" s="4" t="s">
        <v>26</v>
      </c>
      <c r="B11" s="4">
        <f>AVERAGEIFS(Raw_Data!AA:AA,Raw_Data!A:A,"Rural+Urban",Raw_Data!B:B,2023,Raw_Data!C:C,"May")</f>
        <v>177.1</v>
      </c>
      <c r="C11" s="6">
        <f t="shared" si="0"/>
        <v>8.213699607563324E-2</v>
      </c>
      <c r="D11" s="13" t="s">
        <v>26</v>
      </c>
    </row>
    <row r="12" spans="1:5" x14ac:dyDescent="0.35">
      <c r="A12" s="4" t="s">
        <v>52</v>
      </c>
      <c r="B12" s="4">
        <f>AVERAGEIFS(Raw_Data!Z:Z,Raw_Data!A:A,"Rural+Urban",Raw_Data!B:B,2023,Raw_Data!C:C,"May")</f>
        <v>171.2</v>
      </c>
      <c r="C12" s="6">
        <f t="shared" si="0"/>
        <v>7.9400642169104529E-2</v>
      </c>
      <c r="D12" s="13" t="s">
        <v>25</v>
      </c>
    </row>
    <row r="13" spans="1:5" x14ac:dyDescent="0.35">
      <c r="A13" s="4" t="s">
        <v>60</v>
      </c>
      <c r="B13" s="4">
        <f>AVERAGEIFS(Raw_Data!AB:AB,Raw_Data!A:A,"Rural+Urban",Raw_Data!B:B,2023,Raw_Data!C:C,"May")</f>
        <v>185.2</v>
      </c>
      <c r="C13" s="6">
        <f t="shared" si="0"/>
        <v>8.5893685337138773E-2</v>
      </c>
      <c r="D13" s="13" t="s">
        <v>27</v>
      </c>
    </row>
    <row r="14" spans="1:5" x14ac:dyDescent="0.35">
      <c r="A14" s="4" t="s">
        <v>61</v>
      </c>
      <c r="B14" s="4">
        <f>AVERAGEIFS(Raw_Data!W:W,Raw_Data!A:A,"Rural+Urban",Raw_Data!B:B,2023,Raw_Data!C:C,"May")</f>
        <v>175.2</v>
      </c>
      <c r="C14" s="6">
        <f t="shared" si="0"/>
        <v>8.1255797359971446E-2</v>
      </c>
      <c r="D14" s="13" t="s">
        <v>22</v>
      </c>
    </row>
    <row r="15" spans="1:5" x14ac:dyDescent="0.35">
      <c r="A15" s="7" t="s">
        <v>62</v>
      </c>
      <c r="B15" s="10">
        <f>AVERAGEIFS(Raw_Data!Q:Q,Raw_Data!A:A,"Rural+Urban",Raw_Data!B:B,2023,Raw_Data!C:C,"May")</f>
        <v>201</v>
      </c>
      <c r="C15" s="11">
        <f t="shared" si="0"/>
        <v>9.3221548341063151E-2</v>
      </c>
      <c r="D15" s="13" t="s">
        <v>16</v>
      </c>
    </row>
    <row r="16" spans="1:5" x14ac:dyDescent="0.35">
      <c r="A16" s="4" t="s">
        <v>28</v>
      </c>
      <c r="B16" s="4">
        <f>AVERAGEIFS(Raw_Data!AC:AC,Raw_Data!A:A,"Rural+Urban",Raw_Data!B:B,2023,Raw_Data!C:C,"May")</f>
        <v>175.7</v>
      </c>
      <c r="C16" s="6">
        <f t="shared" si="0"/>
        <v>8.1487691758829819E-2</v>
      </c>
      <c r="D16" s="13" t="s">
        <v>28</v>
      </c>
    </row>
    <row r="17" spans="1:3" x14ac:dyDescent="0.35">
      <c r="A17" s="7" t="s">
        <v>63</v>
      </c>
      <c r="B17" s="8"/>
      <c r="C17" s="6">
        <f>SUM(C5:C16)</f>
        <v>0.99999999999999989</v>
      </c>
    </row>
    <row r="18" spans="1:3" x14ac:dyDescent="0.35">
      <c r="A18" s="1"/>
      <c r="B18" s="1"/>
    </row>
    <row r="19" spans="1:3" x14ac:dyDescent="0.35">
      <c r="A19" s="1"/>
      <c r="B19" s="1"/>
    </row>
    <row r="20" spans="1:3" x14ac:dyDescent="0.35">
      <c r="A20" s="1"/>
      <c r="B20" s="1"/>
    </row>
    <row r="21" spans="1:3" x14ac:dyDescent="0.35">
      <c r="A21" s="1"/>
      <c r="B21" s="1"/>
    </row>
    <row r="22" spans="1:3" x14ac:dyDescent="0.35">
      <c r="A22" s="1"/>
      <c r="B22" s="1"/>
    </row>
    <row r="23" spans="1:3" ht="246.5" x14ac:dyDescent="0.35">
      <c r="A23" s="2" t="s">
        <v>65</v>
      </c>
      <c r="B23" s="1"/>
    </row>
    <row r="24" spans="1:3" x14ac:dyDescent="0.35">
      <c r="A24" s="1"/>
      <c r="B24" s="1"/>
    </row>
  </sheetData>
  <mergeCells count="1">
    <mergeCell ref="A1:E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2BE65-4B49-4FC6-920B-E9A17C033EF8}">
  <dimension ref="A1:F15"/>
  <sheetViews>
    <sheetView topLeftCell="A8" workbookViewId="0">
      <selection activeCell="E7" sqref="E7"/>
    </sheetView>
  </sheetViews>
  <sheetFormatPr defaultRowHeight="14.5" x14ac:dyDescent="0.35"/>
  <cols>
    <col min="2" max="2" width="13.453125" bestFit="1" customWidth="1"/>
    <col min="3" max="3" width="17.1796875" bestFit="1" customWidth="1"/>
    <col min="5" max="5" width="46.54296875" customWidth="1"/>
    <col min="6" max="6" width="59.1796875" customWidth="1"/>
  </cols>
  <sheetData>
    <row r="1" spans="1:6" ht="28.5" customHeight="1" x14ac:dyDescent="0.35">
      <c r="A1" s="53" t="s">
        <v>69</v>
      </c>
      <c r="B1" s="53"/>
      <c r="C1" s="53"/>
      <c r="D1" s="53"/>
      <c r="E1" s="53"/>
      <c r="F1" s="53"/>
    </row>
    <row r="3" spans="1:6" x14ac:dyDescent="0.35">
      <c r="A3" s="37" t="s">
        <v>1</v>
      </c>
      <c r="B3" s="37" t="s">
        <v>209</v>
      </c>
      <c r="C3" s="37" t="s">
        <v>210</v>
      </c>
      <c r="D3" s="20" t="s">
        <v>70</v>
      </c>
      <c r="E3" s="20" t="s">
        <v>71</v>
      </c>
    </row>
    <row r="4" spans="1:6" x14ac:dyDescent="0.35">
      <c r="A4" s="15">
        <v>2017</v>
      </c>
      <c r="B4" s="15">
        <f>AVERAGEIFS(Raw_Data!AD:AD,Raw_Data!A:A,"Rural+Urban",Raw_Data!B:B,A4,Raw_Data!C:C,"January")</f>
        <v>130.30000000000001</v>
      </c>
      <c r="C4" s="15">
        <f>AVERAGEIFS(Raw_Data!AD:AD,Raw_Data!A:A,"Rural+Urban",Raw_Data!B:B,A4,Raw_Data!C:C,"December")</f>
        <v>137.19999999999999</v>
      </c>
      <c r="D4" s="17">
        <f>(C4-B4)/B4</f>
        <v>5.295471987720627E-2</v>
      </c>
      <c r="E4" s="16" t="s">
        <v>72</v>
      </c>
    </row>
    <row r="5" spans="1:6" x14ac:dyDescent="0.35">
      <c r="A5" s="15">
        <v>2018</v>
      </c>
      <c r="B5" s="15">
        <f>AVERAGEIFS(Raw_Data!AD:AD,Raw_Data!A:A,"Rural+Urban",Raw_Data!B:B,A5,Raw_Data!C:C,"January")</f>
        <v>136.9</v>
      </c>
      <c r="C5" s="15">
        <f>AVERAGEIFS(Raw_Data!AD:AD,Raw_Data!A:A,"Rural+Urban",Raw_Data!B:B,A5,Raw_Data!C:C,"December")</f>
        <v>140.1</v>
      </c>
      <c r="D5" s="17">
        <f t="shared" ref="D5:D8" si="0">(C5-B5)/B5</f>
        <v>2.3374726077428697E-2</v>
      </c>
      <c r="E5" s="16" t="s">
        <v>73</v>
      </c>
    </row>
    <row r="6" spans="1:6" ht="29" x14ac:dyDescent="0.35">
      <c r="A6" s="34">
        <v>2019</v>
      </c>
      <c r="B6" s="34">
        <f>AVERAGEIFS(Raw_Data!AD:AD,Raw_Data!A:A,"Rural+Urban",Raw_Data!B:B,A6,Raw_Data!C:C,"January")</f>
        <v>139.6</v>
      </c>
      <c r="C6" s="34">
        <f>AVERAGEIFS(Raw_Data!AD:AD,Raw_Data!A:A,"Rural+Urban",Raw_Data!B:B,A6,Raw_Data!C:C,"December")</f>
        <v>150.4</v>
      </c>
      <c r="D6" s="35">
        <f t="shared" si="0"/>
        <v>7.7363896848137617E-2</v>
      </c>
      <c r="E6" s="36" t="s">
        <v>74</v>
      </c>
    </row>
    <row r="7" spans="1:6" x14ac:dyDescent="0.35">
      <c r="A7" s="15">
        <v>2020</v>
      </c>
      <c r="B7" s="15">
        <f>AVERAGEIFS(Raw_Data!AD:AD,Raw_Data!A:A,"Rural+Urban",Raw_Data!B:B,A7,Raw_Data!C:C,"January")</f>
        <v>150.19999999999999</v>
      </c>
      <c r="C7" s="15">
        <f>AVERAGEIFS(Raw_Data!AD:AD,Raw_Data!A:A,"Rural+Urban",Raw_Data!B:B,A7,Raw_Data!C:C,"December")</f>
        <v>158.9</v>
      </c>
      <c r="D7" s="17">
        <f t="shared" si="0"/>
        <v>5.7922769640479481E-2</v>
      </c>
      <c r="E7" s="16" t="s">
        <v>75</v>
      </c>
    </row>
    <row r="8" spans="1:6" ht="29" x14ac:dyDescent="0.35">
      <c r="A8" s="15">
        <v>2021</v>
      </c>
      <c r="B8" s="15">
        <f>AVERAGEIFS(Raw_Data!AD:AD,Raw_Data!A:A,"Rural+Urban",Raw_Data!B:B,A8,Raw_Data!C:C,"January")</f>
        <v>157.30000000000001</v>
      </c>
      <c r="C8" s="15">
        <f>AVERAGEIFS(Raw_Data!AD:AD,Raw_Data!A:A,"Rural+Urban",Raw_Data!B:B,A8,Raw_Data!C:C,"December")</f>
        <v>166.2</v>
      </c>
      <c r="D8" s="17">
        <f t="shared" si="0"/>
        <v>5.657978385251098E-2</v>
      </c>
      <c r="E8" s="16" t="s">
        <v>76</v>
      </c>
    </row>
    <row r="9" spans="1:6" ht="29" x14ac:dyDescent="0.35">
      <c r="A9" s="15">
        <v>2022</v>
      </c>
      <c r="B9" s="15">
        <f>AVERAGEIFS(Raw_Data!AD:AD,Raw_Data!A:A,"Rural+Urban",Raw_Data!B:B,A9,Raw_Data!C:C,"January")</f>
        <v>165.7</v>
      </c>
      <c r="C9" s="15">
        <f>AVERAGEIFS(Raw_Data!AD:AD,Raw_Data!A:A,"Rural+Urban",Raw_Data!B:B,A9,Raw_Data!C:C,"December")</f>
        <v>175.7</v>
      </c>
      <c r="D9" s="17">
        <f>(C9-B9)/B9</f>
        <v>6.0350030175015092E-2</v>
      </c>
      <c r="E9" s="16" t="s">
        <v>77</v>
      </c>
    </row>
    <row r="10" spans="1:6" x14ac:dyDescent="0.35">
      <c r="A10" s="15">
        <v>2023</v>
      </c>
      <c r="B10" s="15">
        <f>AVERAGEIFS(Raw_Data!AD:AD,Raw_Data!A:A,"Rural+Urban",Raw_Data!B:B,A10,Raw_Data!C:C,"January")</f>
        <v>176.5</v>
      </c>
      <c r="C10" s="15">
        <f>AVERAGEIFS(Raw_Data!AD:AD,Raw_Data!A:A,"Rural+Urban",Raw_Data!B:B,2023,Raw_Data!C:C,"May")</f>
        <v>179.1</v>
      </c>
      <c r="D10" s="17">
        <f>(C10-B10)/B10</f>
        <v>1.4730878186968806E-2</v>
      </c>
      <c r="E10" s="16" t="s">
        <v>78</v>
      </c>
    </row>
    <row r="14" spans="1:6" x14ac:dyDescent="0.35">
      <c r="A14" s="30" t="s">
        <v>212</v>
      </c>
    </row>
    <row r="15" spans="1:6" x14ac:dyDescent="0.35">
      <c r="A15" t="s">
        <v>211</v>
      </c>
    </row>
  </sheetData>
  <mergeCells count="1">
    <mergeCell ref="A1:F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65954-43C8-41D2-8F62-602393B827DF}">
  <dimension ref="A1:H43"/>
  <sheetViews>
    <sheetView topLeftCell="A13" workbookViewId="0">
      <selection activeCell="A35" sqref="A35"/>
    </sheetView>
  </sheetViews>
  <sheetFormatPr defaultRowHeight="14.5" x14ac:dyDescent="0.35"/>
  <cols>
    <col min="1" max="1" width="31" bestFit="1" customWidth="1"/>
    <col min="2" max="2" width="14.26953125" bestFit="1" customWidth="1"/>
    <col min="3" max="3" width="14.1796875" bestFit="1" customWidth="1"/>
    <col min="4" max="4" width="15.54296875" bestFit="1" customWidth="1"/>
    <col min="5" max="5" width="14" bestFit="1" customWidth="1"/>
    <col min="8" max="8" width="28.54296875" customWidth="1"/>
  </cols>
  <sheetData>
    <row r="1" spans="1:8" ht="29" customHeight="1" x14ac:dyDescent="0.35">
      <c r="A1" s="55" t="s">
        <v>79</v>
      </c>
      <c r="B1" s="55"/>
      <c r="C1" s="55"/>
      <c r="D1" s="55"/>
      <c r="E1" s="55"/>
      <c r="F1" s="55"/>
      <c r="G1" s="55"/>
      <c r="H1" s="55"/>
    </row>
    <row r="3" spans="1:8" x14ac:dyDescent="0.35">
      <c r="A3" s="56" t="s">
        <v>80</v>
      </c>
      <c r="B3" s="56"/>
      <c r="C3" s="56"/>
      <c r="D3" s="56"/>
      <c r="E3" s="56"/>
    </row>
    <row r="4" spans="1:8" x14ac:dyDescent="0.35">
      <c r="A4" s="20" t="s">
        <v>81</v>
      </c>
      <c r="B4" s="20" t="s">
        <v>82</v>
      </c>
      <c r="C4" s="20" t="s">
        <v>83</v>
      </c>
      <c r="D4" s="20" t="s">
        <v>84</v>
      </c>
      <c r="E4" s="20" t="s">
        <v>85</v>
      </c>
    </row>
    <row r="5" spans="1:8" x14ac:dyDescent="0.35">
      <c r="A5" s="15" t="s">
        <v>86</v>
      </c>
      <c r="B5" s="21" cm="1">
        <f t="array" ref="B5">AVERAGE(_xlfn._xlws.FILTER(Raw_Data!D:O,(Raw_Data!A:A="Rural+Urban")*(Raw_Data!B:B=2022)*(Raw_Data!C:C="June")))</f>
        <v>173.91666666666666</v>
      </c>
      <c r="C5" s="21"/>
      <c r="D5" s="15"/>
      <c r="E5" s="15"/>
    </row>
    <row r="6" spans="1:8" x14ac:dyDescent="0.35">
      <c r="A6" s="15" t="s">
        <v>87</v>
      </c>
      <c r="B6" s="21" cm="1">
        <f t="array" ref="B6">AVERAGE(_xlfn._xlws.FILTER(Raw_Data!D:O,(Raw_Data!A:A="Rural+Urban")*(Raw_Data!B:B=2022)*(Raw_Data!C:C="July")))</f>
        <v>174.27500000000001</v>
      </c>
      <c r="C6" s="21">
        <f>B6-B5</f>
        <v>0.35833333333334849</v>
      </c>
      <c r="D6" s="17">
        <f>(B6-B5)/B5</f>
        <v>2.0603737422137912E-3</v>
      </c>
      <c r="E6" s="15"/>
    </row>
    <row r="7" spans="1:8" x14ac:dyDescent="0.35">
      <c r="A7" s="15" t="s">
        <v>88</v>
      </c>
      <c r="B7" s="21" cm="1">
        <f t="array" ref="B7">AVERAGE(_xlfn._xlws.FILTER(Raw_Data!D:O,(Raw_Data!A:A="Rural+Urban")*(Raw_Data!B:B=2022)*(Raw_Data!C:C="August")))</f>
        <v>174.40833333333333</v>
      </c>
      <c r="C7" s="21">
        <f t="shared" ref="C7:C16" si="0">B7-B6</f>
        <v>0.13333333333332575</v>
      </c>
      <c r="D7" s="17">
        <f t="shared" ref="D7:D16" si="1">(B7-B6)/B6</f>
        <v>7.6507435566389756E-4</v>
      </c>
      <c r="E7" s="15"/>
    </row>
    <row r="8" spans="1:8" x14ac:dyDescent="0.35">
      <c r="A8" s="15" t="s">
        <v>89</v>
      </c>
      <c r="B8" s="21" cm="1">
        <f t="array" ref="B8">AVERAGE(_xlfn._xlws.FILTER(Raw_Data!D:O,(Raw_Data!A:A="Rural+Urban")*(Raw_Data!B:B=2022)*(Raw_Data!C:C="September")))</f>
        <v>175.25833333333333</v>
      </c>
      <c r="C8" s="21">
        <f t="shared" si="0"/>
        <v>0.84999999999999432</v>
      </c>
      <c r="D8" s="17">
        <f t="shared" si="1"/>
        <v>4.8736203354197202E-3</v>
      </c>
      <c r="E8" s="15"/>
    </row>
    <row r="9" spans="1:8" x14ac:dyDescent="0.35">
      <c r="A9" s="15" t="s">
        <v>90</v>
      </c>
      <c r="B9" s="21" cm="1">
        <f t="array" ref="B9">AVERAGE(_xlfn._xlws.FILTER(Raw_Data!D:O,(Raw_Data!A:A="Rural+Urban")*(Raw_Data!B:B=2022)*(Raw_Data!C:C="October")))</f>
        <v>176.47500000000002</v>
      </c>
      <c r="C9" s="21">
        <f t="shared" si="0"/>
        <v>1.216666666666697</v>
      </c>
      <c r="D9" s="17">
        <f t="shared" si="1"/>
        <v>6.9421330417005203E-3</v>
      </c>
      <c r="E9" s="15"/>
    </row>
    <row r="10" spans="1:8" x14ac:dyDescent="0.35">
      <c r="A10" s="15" t="s">
        <v>91</v>
      </c>
      <c r="B10" s="21" cm="1">
        <f t="array" ref="B10">AVERAGE(_xlfn._xlws.FILTER(Raw_Data!D:O,(Raw_Data!A:A="Rural+Urban")*(Raw_Data!B:B=2022)*(Raw_Data!C:C="November")))</f>
        <v>176.54166666666666</v>
      </c>
      <c r="C10" s="21">
        <f t="shared" si="0"/>
        <v>6.6666666666634455E-2</v>
      </c>
      <c r="D10" s="17">
        <f t="shared" si="1"/>
        <v>3.7776833356925599E-4</v>
      </c>
      <c r="E10" s="15"/>
    </row>
    <row r="11" spans="1:8" x14ac:dyDescent="0.35">
      <c r="A11" s="15" t="s">
        <v>92</v>
      </c>
      <c r="B11" s="21" cm="1">
        <f t="array" ref="B11">AVERAGE(_xlfn._xlws.FILTER(Raw_Data!D:O,(Raw_Data!A:A="Rural+Urban")*(Raw_Data!B:B=2022)*(Raw_Data!C:C="December")))</f>
        <v>175.625</v>
      </c>
      <c r="C11" s="21">
        <f t="shared" si="0"/>
        <v>-0.91666666666665719</v>
      </c>
      <c r="D11" s="17">
        <f t="shared" si="1"/>
        <v>-5.1923530800093874E-3</v>
      </c>
      <c r="E11" s="15"/>
    </row>
    <row r="12" spans="1:8" x14ac:dyDescent="0.35">
      <c r="A12" s="15" t="s">
        <v>93</v>
      </c>
      <c r="B12" s="21" cm="1">
        <f t="array" ref="B12">AVERAGE(_xlfn._xlws.FILTER(Raw_Data!D:O,(Raw_Data!A:A="Rural+Urban")*(Raw_Data!B:B=2023)*(Raw_Data!C:C="January")))</f>
        <v>176.33333333333334</v>
      </c>
      <c r="C12" s="21">
        <f t="shared" si="0"/>
        <v>0.70833333333334281</v>
      </c>
      <c r="D12" s="17">
        <f t="shared" si="1"/>
        <v>4.0332147093713466E-3</v>
      </c>
      <c r="E12" s="15"/>
    </row>
    <row r="13" spans="1:8" x14ac:dyDescent="0.35">
      <c r="A13" s="22" t="s">
        <v>94</v>
      </c>
      <c r="B13" s="23" cm="1">
        <f t="array" ref="B13">AVERAGE(_xlfn._xlws.FILTER(Raw_Data!D:O,(Raw_Data!A:A="Rural+Urban")*(Raw_Data!B:B=2023)*(Raw_Data!C:C="February")))</f>
        <v>175.17499999999998</v>
      </c>
      <c r="C13" s="23">
        <f t="shared" si="0"/>
        <v>-1.1583333333333599</v>
      </c>
      <c r="D13" s="24">
        <f t="shared" si="1"/>
        <v>-6.5689981096409816E-3</v>
      </c>
      <c r="E13" s="22" t="s">
        <v>99</v>
      </c>
    </row>
    <row r="14" spans="1:8" x14ac:dyDescent="0.35">
      <c r="A14" s="15" t="s">
        <v>95</v>
      </c>
      <c r="B14" s="21" cm="1">
        <f t="array" ref="B14">AVERAGE(_xlfn._xlws.FILTER(Raw_Data!D:O,(Raw_Data!A:A="Rural+Urban")*(Raw_Data!B:B=2023)*(Raw_Data!C:C="March")))</f>
        <v>175.18333333333331</v>
      </c>
      <c r="C14" s="21">
        <f t="shared" si="0"/>
        <v>8.3333333333257542E-3</v>
      </c>
      <c r="D14" s="17">
        <f t="shared" si="1"/>
        <v>4.7571476142861456E-5</v>
      </c>
      <c r="E14" s="15"/>
    </row>
    <row r="15" spans="1:8" x14ac:dyDescent="0.35">
      <c r="A15" s="15" t="s">
        <v>96</v>
      </c>
      <c r="B15" s="21" cm="1">
        <f t="array" ref="B15">AVERAGE(_xlfn._xlws.FILTER(Raw_Data!D:O,(Raw_Data!A:A="Rural+Urban")*(Raw_Data!B:B=2023)*(Raw_Data!C:C="April")))</f>
        <v>175.97500000000002</v>
      </c>
      <c r="C15" s="21">
        <f t="shared" si="0"/>
        <v>0.79166666666671404</v>
      </c>
      <c r="D15" s="17">
        <f t="shared" si="1"/>
        <v>4.5190752544955618E-3</v>
      </c>
      <c r="E15" s="15"/>
    </row>
    <row r="16" spans="1:8" x14ac:dyDescent="0.35">
      <c r="A16" s="25" t="s">
        <v>97</v>
      </c>
      <c r="B16" s="26" cm="1">
        <f t="array" ref="B16">AVERAGE(_xlfn._xlws.FILTER(Raw_Data!D:O,(Raw_Data!A:A="Rural+Urban")*(Raw_Data!B:B=2023)*(Raw_Data!C:C="May")))</f>
        <v>177.31666666666669</v>
      </c>
      <c r="C16" s="26">
        <f t="shared" si="0"/>
        <v>1.3416666666666686</v>
      </c>
      <c r="D16" s="27">
        <f t="shared" si="1"/>
        <v>7.6241890420040825E-3</v>
      </c>
      <c r="E16" s="25" t="s">
        <v>98</v>
      </c>
    </row>
    <row r="19" spans="1:5" x14ac:dyDescent="0.35">
      <c r="A19" s="56" t="s">
        <v>100</v>
      </c>
      <c r="B19" s="56"/>
      <c r="C19" s="56"/>
      <c r="D19" s="56"/>
      <c r="E19" s="56"/>
    </row>
    <row r="20" spans="1:5" x14ac:dyDescent="0.35">
      <c r="A20" s="20" t="s">
        <v>101</v>
      </c>
      <c r="B20" s="20" t="s">
        <v>102</v>
      </c>
      <c r="C20" s="20" t="s">
        <v>103</v>
      </c>
      <c r="D20" s="20" t="s">
        <v>104</v>
      </c>
      <c r="E20" s="20" t="s">
        <v>105</v>
      </c>
    </row>
    <row r="21" spans="1:5" x14ac:dyDescent="0.35">
      <c r="A21" s="15" t="s">
        <v>12</v>
      </c>
      <c r="B21" s="15">
        <f>AVERAGEIFS(Raw_Data!M:M,Raw_Data!A:A,"Rural+Urban",Raw_Data!B:B,2022,Raw_Data!C:C,"June")</f>
        <v>187.1</v>
      </c>
      <c r="C21" s="15">
        <f>AVERAGEIFS(Raw_Data!M:M,Raw_Data!A:A,"Rural+Urban",Raw_Data!B:B,2023,Raw_Data!C:C,"May")</f>
        <v>218</v>
      </c>
      <c r="D21" s="15">
        <f>C21-B21</f>
        <v>30.900000000000006</v>
      </c>
      <c r="E21" s="18" t="s">
        <v>106</v>
      </c>
    </row>
    <row r="22" spans="1:5" x14ac:dyDescent="0.35">
      <c r="A22" s="15" t="s">
        <v>3</v>
      </c>
      <c r="B22" s="28">
        <f>AVERAGEIFS(Raw_Data!D:D,Raw_Data!A:A,"Rural+Urban",Raw_Data!B:B,2022,Raw_Data!C:C,"June")</f>
        <v>155</v>
      </c>
      <c r="C22" s="15">
        <f>AVERAGEIFS(Raw_Data!D:D,Raw_Data!A:A,"Rural+Urban",Raw_Data!B:B,2023,Raw_Data!C:C,"May")</f>
        <v>173.7</v>
      </c>
      <c r="D22" s="15">
        <f>C22-B22</f>
        <v>18.699999999999989</v>
      </c>
      <c r="E22" s="18" t="s">
        <v>106</v>
      </c>
    </row>
    <row r="23" spans="1:5" x14ac:dyDescent="0.35">
      <c r="A23" s="15" t="s">
        <v>6</v>
      </c>
      <c r="B23" s="15">
        <f>AVERAGEIFS(Raw_Data!G:G,Raw_Data!A:A,"Rural+Urban",Raw_Data!B:B,2022,Raw_Data!C:C,"June")</f>
        <v>165.8</v>
      </c>
      <c r="C23" s="15">
        <f>AVERAGEIFS(Raw_Data!G:G,Raw_Data!A:A,"Rural+Urban",Raw_Data!B:B,2023,Raw_Data!C:C,"May")</f>
        <v>179.5</v>
      </c>
      <c r="D23" s="15">
        <f t="shared" ref="D23:D32" si="2">C23-B23</f>
        <v>13.699999999999989</v>
      </c>
      <c r="E23" s="18" t="s">
        <v>106</v>
      </c>
    </row>
    <row r="24" spans="1:5" x14ac:dyDescent="0.35">
      <c r="A24" s="15" t="s">
        <v>10</v>
      </c>
      <c r="B24" s="15">
        <f>AVERAGEIFS(Raw_Data!K:K,Raw_Data!A:A,"Rural+Urban",Raw_Data!B:B,2022,Raw_Data!C:C,"June")</f>
        <v>164.3</v>
      </c>
      <c r="C24" s="15">
        <f>AVERAGEIFS(Raw_Data!K:K,Raw_Data!A:A,"Rural+Urban",Raw_Data!B:B,2023,Raw_Data!C:C,"May")</f>
        <v>175.6</v>
      </c>
      <c r="D24" s="15">
        <f t="shared" si="2"/>
        <v>11.299999999999983</v>
      </c>
      <c r="E24" s="18" t="s">
        <v>106</v>
      </c>
    </row>
    <row r="25" spans="1:5" x14ac:dyDescent="0.35">
      <c r="A25" s="15" t="s">
        <v>14</v>
      </c>
      <c r="B25" s="15">
        <f>AVERAGEIFS(Raw_Data!O:O,Raw_Data!A:A,"Rural+Urban",Raw_Data!B:B,2022,Raw_Data!C:C,"June")</f>
        <v>183.9</v>
      </c>
      <c r="C25" s="15">
        <f>AVERAGEIFS(Raw_Data!O:O,Raw_Data!A:A,"Rural+Urban",Raw_Data!B:B,2023,Raw_Data!C:C,"May")</f>
        <v>194.2</v>
      </c>
      <c r="D25" s="15">
        <f t="shared" si="2"/>
        <v>10.299999999999983</v>
      </c>
      <c r="E25" s="18" t="s">
        <v>106</v>
      </c>
    </row>
    <row r="26" spans="1:5" x14ac:dyDescent="0.35">
      <c r="A26" s="15" t="s">
        <v>13</v>
      </c>
      <c r="B26" s="15">
        <f>AVERAGEIFS(Raw_Data!N:N,Raw_Data!A:A,"Rural+Urban",Raw_Data!B:B,2022,Raw_Data!C:C,"June")</f>
        <v>167.9</v>
      </c>
      <c r="C26" s="15">
        <f>AVERAGEIFS(Raw_Data!N:N,Raw_Data!A:A,"Rural+Urban",Raw_Data!B:B,2023,Raw_Data!C:C,"May")</f>
        <v>173.4</v>
      </c>
      <c r="D26" s="15">
        <f t="shared" si="2"/>
        <v>5.5</v>
      </c>
      <c r="E26" s="18" t="s">
        <v>106</v>
      </c>
    </row>
    <row r="27" spans="1:5" x14ac:dyDescent="0.35">
      <c r="A27" s="15" t="s">
        <v>11</v>
      </c>
      <c r="B27" s="15">
        <f>AVERAGEIFS(Raw_Data!L:L,Raw_Data!A:A,"Rural+Urban",Raw_Data!B:B,2022,Raw_Data!C:C,"June")</f>
        <v>119.9</v>
      </c>
      <c r="C27" s="15">
        <f>AVERAGEIFS(Raw_Data!L:L,Raw_Data!A:A,"Rural+Urban",Raw_Data!B:B,2023,Raw_Data!C:C,"May")</f>
        <v>122.7</v>
      </c>
      <c r="D27" s="15">
        <f t="shared" si="2"/>
        <v>2.7999999999999972</v>
      </c>
      <c r="E27" s="18" t="s">
        <v>106</v>
      </c>
    </row>
    <row r="28" spans="1:5" x14ac:dyDescent="0.35">
      <c r="A28" s="15" t="s">
        <v>8</v>
      </c>
      <c r="B28" s="15">
        <f>AVERAGEIFS(Raw_Data!I:I,Raw_Data!A:A,"Rural+Urban",Raw_Data!B:B,2022,Raw_Data!C:C,"June")</f>
        <v>169.7</v>
      </c>
      <c r="C28" s="15">
        <f>AVERAGEIFS(Raw_Data!I:I,Raw_Data!A:A,"Rural+Urban",Raw_Data!B:B,2023,Raw_Data!C:C,"May")</f>
        <v>172.2</v>
      </c>
      <c r="D28" s="15">
        <f t="shared" si="2"/>
        <v>2.5</v>
      </c>
      <c r="E28" s="18" t="s">
        <v>106</v>
      </c>
    </row>
    <row r="29" spans="1:5" x14ac:dyDescent="0.35">
      <c r="A29" s="15" t="s">
        <v>5</v>
      </c>
      <c r="B29" s="15">
        <f>AVERAGEIFS(Raw_Data!F:F,Raw_Data!A:A,"Rural+Urban",Raw_Data!B:B,2022,Raw_Data!C:C,"June")</f>
        <v>170.8</v>
      </c>
      <c r="C29" s="15">
        <f>AVERAGEIFS(Raw_Data!F:F,Raw_Data!A:A,"Rural+Urban",Raw_Data!B:B,2023,Raw_Data!C:C,"May")</f>
        <v>173.2</v>
      </c>
      <c r="D29" s="15">
        <f t="shared" si="2"/>
        <v>2.3999999999999773</v>
      </c>
      <c r="E29" s="18" t="s">
        <v>106</v>
      </c>
    </row>
    <row r="30" spans="1:5" x14ac:dyDescent="0.35">
      <c r="A30" s="15" t="s">
        <v>4</v>
      </c>
      <c r="B30" s="15">
        <f>AVERAGEIFS(Raw_Data!E:E,Raw_Data!A:A,"Rural+Urban",Raw_Data!B:B,2022,Raw_Data!C:C,"June")</f>
        <v>219.4</v>
      </c>
      <c r="C30" s="15">
        <f>AVERAGEIFS(Raw_Data!E:E,Raw_Data!A:A,"Rural+Urban",Raw_Data!B:B,2023,Raw_Data!C:C,"May")</f>
        <v>214.3</v>
      </c>
      <c r="D30" s="15">
        <f t="shared" si="2"/>
        <v>-5.0999999999999943</v>
      </c>
      <c r="E30" s="29" t="s">
        <v>107</v>
      </c>
    </row>
    <row r="31" spans="1:5" x14ac:dyDescent="0.35">
      <c r="A31" s="15" t="s">
        <v>9</v>
      </c>
      <c r="B31" s="15">
        <f>AVERAGEIFS(Raw_Data!J:J,Raw_Data!A:A,"Rural+Urban",Raw_Data!B:B,2022,Raw_Data!C:C,"June")</f>
        <v>182.3</v>
      </c>
      <c r="C31" s="15">
        <f>AVERAGEIFS(Raw_Data!J:J,Raw_Data!A:A,"Rural+Urban",Raw_Data!B:B,2023,Raw_Data!C:C,"May")</f>
        <v>161</v>
      </c>
      <c r="D31" s="15">
        <f t="shared" si="2"/>
        <v>-21.300000000000011</v>
      </c>
      <c r="E31" s="29" t="s">
        <v>107</v>
      </c>
    </row>
    <row r="32" spans="1:5" x14ac:dyDescent="0.35">
      <c r="A32" s="15" t="s">
        <v>7</v>
      </c>
      <c r="B32" s="15">
        <f>AVERAGEIFS(Raw_Data!H:H,Raw_Data!A:A,"Rural+Urban",Raw_Data!B:B,2022,Raw_Data!C:C,"June")</f>
        <v>200.9</v>
      </c>
      <c r="C32" s="15">
        <f>AVERAGEIFS(Raw_Data!H:H,Raw_Data!A:A,"Rural+Urban",Raw_Data!B:B,2023,Raw_Data!C:C,"May")</f>
        <v>170</v>
      </c>
      <c r="D32" s="15">
        <f t="shared" si="2"/>
        <v>-30.900000000000006</v>
      </c>
      <c r="E32" s="29" t="s">
        <v>107</v>
      </c>
    </row>
    <row r="35" spans="1:1" x14ac:dyDescent="0.35">
      <c r="A35" s="30" t="s">
        <v>112</v>
      </c>
    </row>
    <row r="36" spans="1:1" x14ac:dyDescent="0.35">
      <c r="A36" s="31"/>
    </row>
    <row r="37" spans="1:1" x14ac:dyDescent="0.35">
      <c r="A37" s="32" t="s">
        <v>108</v>
      </c>
    </row>
    <row r="38" spans="1:1" x14ac:dyDescent="0.35">
      <c r="A38" s="31"/>
    </row>
    <row r="39" spans="1:1" x14ac:dyDescent="0.35">
      <c r="A39" s="32" t="s">
        <v>109</v>
      </c>
    </row>
    <row r="40" spans="1:1" x14ac:dyDescent="0.35">
      <c r="A40" s="31"/>
    </row>
    <row r="41" spans="1:1" x14ac:dyDescent="0.35">
      <c r="A41" s="32" t="s">
        <v>110</v>
      </c>
    </row>
    <row r="42" spans="1:1" x14ac:dyDescent="0.35">
      <c r="A42" s="31"/>
    </row>
    <row r="43" spans="1:1" x14ac:dyDescent="0.35">
      <c r="A43" s="32" t="s">
        <v>111</v>
      </c>
    </row>
  </sheetData>
  <mergeCells count="3">
    <mergeCell ref="A1:H1"/>
    <mergeCell ref="A3:E3"/>
    <mergeCell ref="A19:E1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417FA-F222-4F58-AC22-D3E8EC9D14ED}">
  <dimension ref="A1:J59"/>
  <sheetViews>
    <sheetView topLeftCell="E18" zoomScaleNormal="100" workbookViewId="0">
      <selection activeCell="C5" sqref="C5"/>
    </sheetView>
  </sheetViews>
  <sheetFormatPr defaultRowHeight="14.5" x14ac:dyDescent="0.35"/>
  <cols>
    <col min="1" max="1" width="29.26953125" bestFit="1" customWidth="1"/>
    <col min="2" max="2" width="15.08984375" bestFit="1" customWidth="1"/>
    <col min="3" max="3" width="12.7265625" bestFit="1" customWidth="1"/>
    <col min="4" max="4" width="13.90625" bestFit="1" customWidth="1"/>
    <col min="5" max="5" width="11.453125" bestFit="1" customWidth="1"/>
    <col min="6" max="6" width="12.54296875" bestFit="1" customWidth="1"/>
    <col min="7" max="7" width="16.08984375" bestFit="1" customWidth="1"/>
    <col min="8" max="8" width="16.08984375" customWidth="1"/>
    <col min="9" max="9" width="15.08984375" customWidth="1"/>
    <col min="10" max="10" width="10.7265625" bestFit="1" customWidth="1"/>
  </cols>
  <sheetData>
    <row r="1" spans="1:10" ht="33" customHeight="1" x14ac:dyDescent="0.35">
      <c r="A1" s="55" t="s">
        <v>113</v>
      </c>
      <c r="B1" s="55"/>
      <c r="C1" s="55"/>
      <c r="D1" s="55"/>
      <c r="E1" s="55"/>
      <c r="F1" s="55"/>
      <c r="G1" s="55"/>
      <c r="H1" s="55"/>
      <c r="I1" s="55"/>
      <c r="J1" s="55"/>
    </row>
    <row r="3" spans="1:10" x14ac:dyDescent="0.35">
      <c r="A3" s="19" t="s">
        <v>81</v>
      </c>
      <c r="B3" s="19" t="s">
        <v>1</v>
      </c>
      <c r="C3" s="19" t="s">
        <v>114</v>
      </c>
      <c r="D3" s="19" t="s">
        <v>115</v>
      </c>
      <c r="E3" s="19" t="s">
        <v>116</v>
      </c>
      <c r="F3" s="19" t="s">
        <v>154</v>
      </c>
      <c r="G3" s="19" t="s">
        <v>117</v>
      </c>
      <c r="H3" s="19" t="s">
        <v>155</v>
      </c>
      <c r="I3" s="19" t="s">
        <v>118</v>
      </c>
      <c r="J3" s="19" t="s">
        <v>156</v>
      </c>
    </row>
    <row r="4" spans="1:10" x14ac:dyDescent="0.35">
      <c r="A4" t="s">
        <v>119</v>
      </c>
      <c r="B4">
        <v>2019</v>
      </c>
      <c r="C4">
        <f>AVERAGEIFS(
Clean_Data!AD:AD,
Clean_Data!A:A,"Rural+Urban",
Clean_Data!B:B,B4,
Clean_Data!C:C,TEXT(DATEVALUE("1-"&amp;RIGHT(A4,LEN(A4)-FIND(" ",A4))&amp;"-"&amp;B4),"mmmm")
)</f>
        <v>139.6</v>
      </c>
      <c r="E4">
        <f>AVERAGEIFS(
Clean_Data!X:X,
Clean_Data!A:A,"Rural+Urban",
Clean_Data!B:B,B4,
Clean_Data!C:C,TEXT(DATEVALUE("1-"&amp;RIGHT(A4,LEN(A4)-FIND(" ",A4))&amp;"-"&amp;B4),"mmmm")
)</f>
        <v>145.1</v>
      </c>
      <c r="G4">
        <f>AVERAGEIFS(
Clean_Data!P:P,
Clean_Data!A:A,"Rural+Urban",
Clean_Data!B:B,B4,
Clean_Data!C:C,TEXT(DATEVALUE("1-"&amp;RIGHT(A4,LEN(A4)-FIND(" ",A4))&amp;"-"&amp;B4),"mmmm")
)</f>
        <v>137.4</v>
      </c>
      <c r="I4">
        <f>AVERAGEIFS(
Clean_Data!V:V,
Clean_Data!A:A,"Rural+Urban",
Clean_Data!B:B,B4,
Clean_Data!C:C,TEXT(DATEVALUE("1-"&amp;RIGHT(A4,LEN(A4)-FIND(" ",A4))&amp;"-"&amp;B4),"mmmm")
)</f>
        <v>139.5</v>
      </c>
    </row>
    <row r="5" spans="1:10" x14ac:dyDescent="0.35">
      <c r="A5" t="s">
        <v>120</v>
      </c>
      <c r="B5">
        <v>2019</v>
      </c>
      <c r="C5">
        <f>AVERAGEIFS(
Clean_Data!AD:AD,
Clean_Data!A:A,"Rural+Urban",
Clean_Data!B:B,B5,
Clean_Data!C:C,TEXT(DATEVALUE("1-"&amp;RIGHT(A5,LEN(A5)-FIND(" ",A5))&amp;"-"&amp;B5),"mmmm")
)</f>
        <v>139.9</v>
      </c>
      <c r="D5" s="14">
        <f>(C5-C4)/C4</f>
        <v>2.1489971346705687E-3</v>
      </c>
      <c r="E5">
        <f>AVERAGEIFS(
Clean_Data!X:X,
Clean_Data!A:A,"Rural+Urban",
Clean_Data!B:B,B5,
Clean_Data!C:C,TEXT(DATEVALUE("1-"&amp;RIGHT(A5,LEN(A5)-FIND(" ",A5))&amp;"-"&amp;B5),"mmmm")
)</f>
        <v>145.6</v>
      </c>
      <c r="F5" s="14">
        <f>(E5-E4)/E4</f>
        <v>3.4458993797381117E-3</v>
      </c>
      <c r="G5">
        <f>AVERAGEIFS(
Clean_Data!P:P,
Clean_Data!A:A,"Rural+Urban",
Clean_Data!B:B,B5,
Clean_Data!C:C,TEXT(DATEVALUE("1-"&amp;RIGHT(A5,LEN(A5)-FIND(" ",A5))&amp;"-"&amp;B5),"mmmm")
)</f>
        <v>137.5</v>
      </c>
      <c r="H5" s="14">
        <f>(G5-G4)/G4</f>
        <v>7.2780203784566459E-4</v>
      </c>
      <c r="I5">
        <f>AVERAGEIFS(
Clean_Data!V:V,
Clean_Data!A:A,"Rural+Urban",
Clean_Data!B:B,B5,
Clean_Data!C:C,TEXT(DATEVALUE("1-"&amp;RIGHT(A5,LEN(A5)-FIND(" ",A5))&amp;"-"&amp;B5),"mmmm")
)</f>
        <v>138.4</v>
      </c>
      <c r="J5" s="14">
        <f>(I5-I4)/I4</f>
        <v>-7.8853046594981671E-3</v>
      </c>
    </row>
    <row r="6" spans="1:10" x14ac:dyDescent="0.35">
      <c r="A6" t="s">
        <v>121</v>
      </c>
      <c r="B6">
        <v>2019</v>
      </c>
      <c r="C6">
        <f>AVERAGEIFS(
Clean_Data!AD:AD,
Clean_Data!A:A,"Rural+Urban",
Clean_Data!B:B,B6,
Clean_Data!C:C,TEXT(DATEVALUE("1-"&amp;RIGHT(A6,LEN(A6)-FIND(" ",A6))&amp;"-"&amp;B6),"mmmm")
)</f>
        <v>140.4</v>
      </c>
      <c r="D6" s="14">
        <f t="shared" ref="D6:D38" si="0">(C6-C5)/C5</f>
        <v>3.5739814152966403E-3</v>
      </c>
      <c r="E6">
        <f>AVERAGEIFS(
Clean_Data!X:X,
Clean_Data!A:A,"Rural+Urban",
Clean_Data!B:B,B6,
Clean_Data!C:C,TEXT(DATEVALUE("1-"&amp;RIGHT(A6,LEN(A6)-FIND(" ",A6))&amp;"-"&amp;B6),"mmmm")
)</f>
        <v>146.19999999999999</v>
      </c>
      <c r="F6" s="14">
        <f t="shared" ref="F6:F38" si="1">(E6-E5)/E5</f>
        <v>4.120879120879082E-3</v>
      </c>
      <c r="G6">
        <f>AVERAGEIFS(
Clean_Data!P:P,
Clean_Data!A:A,"Rural+Urban",
Clean_Data!B:B,B6,
Clean_Data!C:C,TEXT(DATEVALUE("1-"&amp;RIGHT(A6,LEN(A6)-FIND(" ",A6))&amp;"-"&amp;B6),"mmmm")
)</f>
        <v>138.1</v>
      </c>
      <c r="H6" s="14">
        <f t="shared" ref="H6:H38" si="2">(G6-G5)/G5</f>
        <v>4.3636363636363222E-3</v>
      </c>
      <c r="I6">
        <f>AVERAGEIFS(
Clean_Data!V:V,
Clean_Data!A:A,"Rural+Urban",
Clean_Data!B:B,B6,
Clean_Data!C:C,TEXT(DATEVALUE("1-"&amp;RIGHT(A6,LEN(A6)-FIND(" ",A6))&amp;"-"&amp;B6),"mmmm")
)</f>
        <v>139.69999999999999</v>
      </c>
      <c r="J6" s="14">
        <f t="shared" ref="J6:J38" si="3">(I6-I5)/I5</f>
        <v>9.3930635838149045E-3</v>
      </c>
    </row>
    <row r="7" spans="1:10" x14ac:dyDescent="0.35">
      <c r="A7" t="s">
        <v>122</v>
      </c>
      <c r="B7">
        <v>2019</v>
      </c>
      <c r="C7">
        <f>AVERAGEIFS(
Clean_Data!AD:AD,
Clean_Data!A:A,"Rural+Urban",
Clean_Data!B:B,B7,
Clean_Data!C:C,TEXT(DATEVALUE("1-"&amp;RIGHT(A7,LEN(A7)-FIND(" ",A7))&amp;"-"&amp;B7),"mmmm")
)</f>
        <v>142</v>
      </c>
      <c r="D7" s="14">
        <f t="shared" si="0"/>
        <v>1.1396011396011355E-2</v>
      </c>
      <c r="E7">
        <f>AVERAGEIFS(
Clean_Data!X:X,
Clean_Data!A:A,"Rural+Urban",
Clean_Data!B:B,B7,
Clean_Data!C:C,TEXT(DATEVALUE("1-"&amp;RIGHT(A7,LEN(A7)-FIND(" ",A7))&amp;"-"&amp;B7),"mmmm")
)</f>
        <v>146.9</v>
      </c>
      <c r="F7" s="14">
        <f t="shared" si="1"/>
        <v>4.7879616963065466E-3</v>
      </c>
      <c r="G7">
        <f>AVERAGEIFS(
Clean_Data!P:P,
Clean_Data!A:A,"Rural+Urban",
Clean_Data!B:B,B7,
Clean_Data!C:C,TEXT(DATEVALUE("1-"&amp;RIGHT(A7,LEN(A7)-FIND(" ",A7))&amp;"-"&amp;B7),"mmmm")
)</f>
        <v>140.9</v>
      </c>
      <c r="H7" s="14">
        <f t="shared" si="2"/>
        <v>2.0275162925416448E-2</v>
      </c>
      <c r="I7">
        <f>AVERAGEIFS(
Clean_Data!V:V,
Clean_Data!A:A,"Rural+Urban",
Clean_Data!B:B,B7,
Clean_Data!C:C,TEXT(DATEVALUE("1-"&amp;RIGHT(A7,LEN(A7)-FIND(" ",A7))&amp;"-"&amp;B7),"mmmm")
)</f>
        <v>140.30000000000001</v>
      </c>
      <c r="J7" s="14">
        <f t="shared" si="3"/>
        <v>4.2949176807446157E-3</v>
      </c>
    </row>
    <row r="8" spans="1:10" x14ac:dyDescent="0.35">
      <c r="A8" t="s">
        <v>123</v>
      </c>
      <c r="B8">
        <v>2019</v>
      </c>
      <c r="C8">
        <f>AVERAGEIFS(
Clean_Data!AD:AD,
Clean_Data!A:A,"Rural+Urban",
Clean_Data!B:B,B8,
Clean_Data!C:C,TEXT(DATEVALUE("1-"&amp;RIGHT(A8,LEN(A8)-FIND(" ",A8))&amp;"-"&amp;B8),"mmmm")
)</f>
        <v>142.9</v>
      </c>
      <c r="D8" s="14">
        <f t="shared" si="0"/>
        <v>6.3380281690141246E-3</v>
      </c>
      <c r="E8">
        <f>AVERAGEIFS(
Clean_Data!X:X,
Clean_Data!A:A,"Rural+Urban",
Clean_Data!B:B,B8,
Clean_Data!C:C,TEXT(DATEVALUE("1-"&amp;RIGHT(A8,LEN(A8)-FIND(" ",A8))&amp;"-"&amp;B8),"mmmm")
)</f>
        <v>147.4</v>
      </c>
      <c r="F8" s="14">
        <f t="shared" si="1"/>
        <v>3.4036759700476512E-3</v>
      </c>
      <c r="G8">
        <f>AVERAGEIFS(
Clean_Data!P:P,
Clean_Data!A:A,"Rural+Urban",
Clean_Data!B:B,B8,
Clean_Data!C:C,TEXT(DATEVALUE("1-"&amp;RIGHT(A8,LEN(A8)-FIND(" ",A8))&amp;"-"&amp;B8),"mmmm")
)</f>
        <v>142.69999999999999</v>
      </c>
      <c r="H8" s="14">
        <f t="shared" si="2"/>
        <v>1.2775017743080078E-2</v>
      </c>
      <c r="I8">
        <f>AVERAGEIFS(
Clean_Data!V:V,
Clean_Data!A:A,"Rural+Urban",
Clean_Data!B:B,B8,
Clean_Data!C:C,TEXT(DATEVALUE("1-"&amp;RIGHT(A8,LEN(A8)-FIND(" ",A8))&amp;"-"&amp;B8),"mmmm")
)</f>
        <v>141.19999999999999</v>
      </c>
      <c r="J8" s="14">
        <f t="shared" si="3"/>
        <v>6.4148253741979841E-3</v>
      </c>
    </row>
    <row r="9" spans="1:10" x14ac:dyDescent="0.35">
      <c r="A9" t="s">
        <v>124</v>
      </c>
      <c r="B9">
        <v>2019</v>
      </c>
      <c r="C9">
        <f>AVERAGEIFS(
Clean_Data!AD:AD,
Clean_Data!A:A,"Rural+Urban",
Clean_Data!B:B,B9,
Clean_Data!C:C,TEXT(DATEVALUE("1-"&amp;RIGHT(A9,LEN(A9)-FIND(" ",A9))&amp;"-"&amp;B9),"mmmm")
)</f>
        <v>144.19999999999999</v>
      </c>
      <c r="D9" s="14">
        <f t="shared" si="0"/>
        <v>9.0972708187542547E-3</v>
      </c>
      <c r="E9">
        <f>AVERAGEIFS(
Clean_Data!X:X,
Clean_Data!A:A,"Rural+Urban",
Clean_Data!B:B,B9,
Clean_Data!C:C,TEXT(DATEVALUE("1-"&amp;RIGHT(A9,LEN(A9)-FIND(" ",A9))&amp;"-"&amp;B9),"mmmm")
)</f>
        <v>147.9</v>
      </c>
      <c r="F9" s="14">
        <f t="shared" si="1"/>
        <v>3.3921302578018993E-3</v>
      </c>
      <c r="G9">
        <f>AVERAGEIFS(
Clean_Data!P:P,
Clean_Data!A:A,"Rural+Urban",
Clean_Data!B:B,B9,
Clean_Data!C:C,TEXT(DATEVALUE("1-"&amp;RIGHT(A9,LEN(A9)-FIND(" ",A9))&amp;"-"&amp;B9),"mmmm")
)</f>
        <v>144.69999999999999</v>
      </c>
      <c r="H9" s="14">
        <f t="shared" si="2"/>
        <v>1.4015416958654521E-2</v>
      </c>
      <c r="I9">
        <f>AVERAGEIFS(
Clean_Data!V:V,
Clean_Data!A:A,"Rural+Urban",
Clean_Data!B:B,B9,
Clean_Data!C:C,TEXT(DATEVALUE("1-"&amp;RIGHT(A9,LEN(A9)-FIND(" ",A9))&amp;"-"&amp;B9),"mmmm")
)</f>
        <v>139.30000000000001</v>
      </c>
      <c r="J9" s="14">
        <f t="shared" si="3"/>
        <v>-1.3456090651557914E-2</v>
      </c>
    </row>
    <row r="10" spans="1:10" x14ac:dyDescent="0.35">
      <c r="A10" t="s">
        <v>125</v>
      </c>
      <c r="B10">
        <v>2019</v>
      </c>
      <c r="C10">
        <f>AVERAGEIFS(
Clean_Data!AD:AD,
Clean_Data!A:A,"Rural+Urban",
Clean_Data!B:B,B10,
Clean_Data!C:C,TEXT(DATEVALUE("1-"&amp;RIGHT(A10,LEN(A10)-FIND(" ",A10))&amp;"-"&amp;B10),"mmmm")
)</f>
        <v>145</v>
      </c>
      <c r="D10" s="14">
        <f t="shared" si="0"/>
        <v>5.5478502080444619E-3</v>
      </c>
      <c r="E10">
        <f>AVERAGEIFS(
Clean_Data!X:X,
Clean_Data!A:A,"Rural+Urban",
Clean_Data!B:B,B10,
Clean_Data!C:C,TEXT(DATEVALUE("1-"&amp;RIGHT(A10,LEN(A10)-FIND(" ",A10))&amp;"-"&amp;B10),"mmmm")
)</f>
        <v>148.5</v>
      </c>
      <c r="F10" s="14">
        <f t="shared" si="1"/>
        <v>4.0567951318458036E-3</v>
      </c>
      <c r="G10">
        <f>AVERAGEIFS(
Clean_Data!P:P,
Clean_Data!A:A,"Rural+Urban",
Clean_Data!B:B,B10,
Clean_Data!C:C,TEXT(DATEVALUE("1-"&amp;RIGHT(A10,LEN(A10)-FIND(" ",A10))&amp;"-"&amp;B10),"mmmm")
)</f>
        <v>145.9</v>
      </c>
      <c r="H10" s="14">
        <f t="shared" si="2"/>
        <v>8.2930200414652183E-3</v>
      </c>
      <c r="I10">
        <f>AVERAGEIFS(
Clean_Data!V:V,
Clean_Data!A:A,"Rural+Urban",
Clean_Data!B:B,B10,
Clean_Data!C:C,TEXT(DATEVALUE("1-"&amp;RIGHT(A10,LEN(A10)-FIND(" ",A10))&amp;"-"&amp;B10),"mmmm")
)</f>
        <v>138.5</v>
      </c>
      <c r="J10" s="14">
        <f t="shared" si="3"/>
        <v>-5.7430007178751706E-3</v>
      </c>
    </row>
    <row r="11" spans="1:10" x14ac:dyDescent="0.35">
      <c r="A11" t="s">
        <v>126</v>
      </c>
      <c r="B11">
        <v>2019</v>
      </c>
      <c r="C11">
        <f>AVERAGEIFS(
Clean_Data!AD:AD,
Clean_Data!A:A,"Rural+Urban",
Clean_Data!B:B,B11,
Clean_Data!C:C,TEXT(DATEVALUE("1-"&amp;RIGHT(A11,LEN(A11)-FIND(" ",A11))&amp;"-"&amp;B11),"mmmm")
)</f>
        <v>145.80000000000001</v>
      </c>
      <c r="D11" s="14">
        <f t="shared" si="0"/>
        <v>5.5172413793104233E-3</v>
      </c>
      <c r="E11">
        <f>AVERAGEIFS(
Clean_Data!X:X,
Clean_Data!A:A,"Rural+Urban",
Clean_Data!B:B,B11,
Clean_Data!C:C,TEXT(DATEVALUE("1-"&amp;RIGHT(A11,LEN(A11)-FIND(" ",A11))&amp;"-"&amp;B11),"mmmm")
)</f>
        <v>149</v>
      </c>
      <c r="F11" s="14">
        <f t="shared" si="1"/>
        <v>3.3670033670033669E-3</v>
      </c>
      <c r="G11">
        <f>AVERAGEIFS(
Clean_Data!P:P,
Clean_Data!A:A,"Rural+Urban",
Clean_Data!B:B,B11,
Clean_Data!C:C,TEXT(DATEVALUE("1-"&amp;RIGHT(A11,LEN(A11)-FIND(" ",A11))&amp;"-"&amp;B11),"mmmm")
)</f>
        <v>147</v>
      </c>
      <c r="H11" s="14">
        <f t="shared" si="2"/>
        <v>7.5394105551747376E-3</v>
      </c>
      <c r="I11">
        <f>AVERAGEIFS(
Clean_Data!V:V,
Clean_Data!A:A,"Rural+Urban",
Clean_Data!B:B,B11,
Clean_Data!C:C,TEXT(DATEVALUE("1-"&amp;RIGHT(A11,LEN(A11)-FIND(" ",A11))&amp;"-"&amp;B11),"mmmm")
)</f>
        <v>139.19999999999999</v>
      </c>
      <c r="J11" s="14">
        <f t="shared" si="3"/>
        <v>5.0541516245486548E-3</v>
      </c>
    </row>
    <row r="12" spans="1:10" x14ac:dyDescent="0.35">
      <c r="A12" t="s">
        <v>127</v>
      </c>
      <c r="B12">
        <v>2019</v>
      </c>
      <c r="C12">
        <f>AVERAGEIFS(
Clean_Data!AD:AD,
Clean_Data!A:A,"Rural+Urban",
Clean_Data!B:B,B12,
Clean_Data!C:C,TEXT(DATEVALUE("1-"&amp;RIGHT(A12,LEN(A12)-FIND(" ",A12))&amp;"-"&amp;B12),"mmmm")
)</f>
        <v>147.19999999999999</v>
      </c>
      <c r="D12" s="14">
        <f t="shared" si="0"/>
        <v>9.6021947873798155E-3</v>
      </c>
      <c r="E12">
        <f>AVERAGEIFS(
Clean_Data!X:X,
Clean_Data!A:A,"Rural+Urban",
Clean_Data!B:B,B12,
Clean_Data!C:C,TEXT(DATEVALUE("1-"&amp;RIGHT(A12,LEN(A12)-FIND(" ",A12))&amp;"-"&amp;B12),"mmmm")
)</f>
        <v>149.4</v>
      </c>
      <c r="F12" s="14">
        <f t="shared" si="1"/>
        <v>2.6845637583892998E-3</v>
      </c>
      <c r="G12">
        <f>AVERAGEIFS(
Clean_Data!P:P,
Clean_Data!A:A,"Rural+Urban",
Clean_Data!B:B,B12,
Clean_Data!C:C,TEXT(DATEVALUE("1-"&amp;RIGHT(A12,LEN(A12)-FIND(" ",A12))&amp;"-"&amp;B12),"mmmm")
)</f>
        <v>149.6</v>
      </c>
      <c r="H12" s="14">
        <f t="shared" si="2"/>
        <v>1.7687074829931933E-2</v>
      </c>
      <c r="I12">
        <f>AVERAGEIFS(
Clean_Data!V:V,
Clean_Data!A:A,"Rural+Urban",
Clean_Data!B:B,B12,
Clean_Data!C:C,TEXT(DATEVALUE("1-"&amp;RIGHT(A12,LEN(A12)-FIND(" ",A12))&amp;"-"&amp;B12),"mmmm")
)</f>
        <v>140.6</v>
      </c>
      <c r="J12" s="14">
        <f t="shared" si="3"/>
        <v>1.0057471264367858E-2</v>
      </c>
    </row>
    <row r="13" spans="1:10" x14ac:dyDescent="0.35">
      <c r="A13" t="s">
        <v>128</v>
      </c>
      <c r="B13">
        <v>2019</v>
      </c>
      <c r="C13">
        <f>AVERAGEIFS(
Clean_Data!AD:AD,
Clean_Data!A:A,"Rural+Urban",
Clean_Data!B:B,B13,
Clean_Data!C:C,TEXT(DATEVALUE("1-"&amp;RIGHT(A13,LEN(A13)-FIND(" ",A13))&amp;"-"&amp;B13),"mmmm")
)</f>
        <v>148.6</v>
      </c>
      <c r="D13" s="14">
        <f t="shared" si="0"/>
        <v>9.5108695652174301E-3</v>
      </c>
      <c r="E13">
        <f>AVERAGEIFS(
Clean_Data!X:X,
Clean_Data!A:A,"Rural+Urban",
Clean_Data!B:B,B13,
Clean_Data!C:C,TEXT(DATEVALUE("1-"&amp;RIGHT(A13,LEN(A13)-FIND(" ",A13))&amp;"-"&amp;B13),"mmmm")
)</f>
        <v>149.9</v>
      </c>
      <c r="F13" s="14">
        <f t="shared" si="1"/>
        <v>3.3467202141900937E-3</v>
      </c>
      <c r="G13">
        <f>AVERAGEIFS(
Clean_Data!P:P,
Clean_Data!A:A,"Rural+Urban",
Clean_Data!B:B,B13,
Clean_Data!C:C,TEXT(DATEVALUE("1-"&amp;RIGHT(A13,LEN(A13)-FIND(" ",A13))&amp;"-"&amp;B13),"mmmm")
)</f>
        <v>151.9</v>
      </c>
      <c r="H13" s="14">
        <f t="shared" si="2"/>
        <v>1.5374331550802216E-2</v>
      </c>
      <c r="I13">
        <f>AVERAGEIFS(
Clean_Data!V:V,
Clean_Data!A:A,"Rural+Urban",
Clean_Data!B:B,B13,
Clean_Data!C:C,TEXT(DATEVALUE("1-"&amp;RIGHT(A13,LEN(A13)-FIND(" ",A13))&amp;"-"&amp;B13),"mmmm")
)</f>
        <v>142.30000000000001</v>
      </c>
      <c r="J13" s="14">
        <f t="shared" si="3"/>
        <v>1.2091038406828002E-2</v>
      </c>
    </row>
    <row r="14" spans="1:10" x14ac:dyDescent="0.35">
      <c r="A14" t="s">
        <v>129</v>
      </c>
      <c r="B14">
        <v>2019</v>
      </c>
      <c r="C14">
        <f>AVERAGEIFS(
Clean_Data!AD:AD,
Clean_Data!A:A,"Rural+Urban",
Clean_Data!B:B,B14,
Clean_Data!C:C,TEXT(DATEVALUE("1-"&amp;RIGHT(A14,LEN(A14)-FIND(" ",A14))&amp;"-"&amp;B14),"mmmm")
)</f>
        <v>150.4</v>
      </c>
      <c r="D14" s="14">
        <f t="shared" si="0"/>
        <v>1.2113055181695904E-2</v>
      </c>
      <c r="E14">
        <f>AVERAGEIFS(
Clean_Data!X:X,
Clean_Data!A:A,"Rural+Urban",
Clean_Data!B:B,B14,
Clean_Data!C:C,TEXT(DATEVALUE("1-"&amp;RIGHT(A14,LEN(A14)-FIND(" ",A14))&amp;"-"&amp;B14),"mmmm")
)</f>
        <v>150.4</v>
      </c>
      <c r="F14" s="14">
        <f t="shared" si="1"/>
        <v>3.3355570380253501E-3</v>
      </c>
      <c r="G14">
        <f>AVERAGEIFS(
Clean_Data!P:P,
Clean_Data!A:A,"Rural+Urban",
Clean_Data!B:B,B14,
Clean_Data!C:C,TEXT(DATEVALUE("1-"&amp;RIGHT(A14,LEN(A14)-FIND(" ",A14))&amp;"-"&amp;B14),"mmmm")
)</f>
        <v>155</v>
      </c>
      <c r="H14" s="14">
        <f t="shared" si="2"/>
        <v>2.0408163265306083E-2</v>
      </c>
      <c r="I14">
        <f>AVERAGEIFS(
Clean_Data!V:V,
Clean_Data!A:A,"Rural+Urban",
Clean_Data!B:B,B14,
Clean_Data!C:C,TEXT(DATEVALUE("1-"&amp;RIGHT(A14,LEN(A14)-FIND(" ",A14))&amp;"-"&amp;B14),"mmmm")
)</f>
        <v>143.69999999999999</v>
      </c>
      <c r="J14" s="14">
        <f t="shared" si="3"/>
        <v>9.8383696416020888E-3</v>
      </c>
    </row>
    <row r="15" spans="1:10" x14ac:dyDescent="0.35">
      <c r="A15" t="s">
        <v>130</v>
      </c>
      <c r="B15">
        <v>2020</v>
      </c>
      <c r="C15">
        <f>AVERAGEIFS(
Clean_Data!AD:AD,
Clean_Data!A:A,"Rural+Urban",
Clean_Data!B:B,B15,
Clean_Data!C:C,TEXT(DATEVALUE("1-"&amp;RIGHT(A15,LEN(A15)-FIND(" ",A15))&amp;"-"&amp;B15),"mmmm")
)</f>
        <v>150.19999999999999</v>
      </c>
      <c r="D15" s="14">
        <f t="shared" si="0"/>
        <v>-1.3297872340426666E-3</v>
      </c>
      <c r="E15">
        <f>AVERAGEIFS(
Clean_Data!X:X,
Clean_Data!A:A,"Rural+Urban",
Clean_Data!B:B,B15,
Clean_Data!C:C,TEXT(DATEVALUE("1-"&amp;RIGHT(A15,LEN(A15)-FIND(" ",A15))&amp;"-"&amp;B15),"mmmm")
)</f>
        <v>151.19999999999999</v>
      </c>
      <c r="F15" s="14">
        <f t="shared" si="1"/>
        <v>5.319148936170099E-3</v>
      </c>
      <c r="G15">
        <f>AVERAGEIFS(
Clean_Data!P:P,
Clean_Data!A:A,"Rural+Urban",
Clean_Data!B:B,B15,
Clean_Data!C:C,TEXT(DATEVALUE("1-"&amp;RIGHT(A15,LEN(A15)-FIND(" ",A15))&amp;"-"&amp;B15),"mmmm")
)</f>
        <v>153.5</v>
      </c>
      <c r="H15" s="14">
        <f t="shared" si="2"/>
        <v>-9.6774193548387101E-3</v>
      </c>
      <c r="I15">
        <f>AVERAGEIFS(
Clean_Data!V:V,
Clean_Data!A:A,"Rural+Urban",
Clean_Data!B:B,B15,
Clean_Data!C:C,TEXT(DATEVALUE("1-"&amp;RIGHT(A15,LEN(A15)-FIND(" ",A15))&amp;"-"&amp;B15),"mmmm")
)</f>
        <v>144.6</v>
      </c>
      <c r="J15" s="14">
        <f t="shared" si="3"/>
        <v>6.2630480167015015E-3</v>
      </c>
    </row>
    <row r="16" spans="1:10" x14ac:dyDescent="0.35">
      <c r="A16" t="s">
        <v>131</v>
      </c>
      <c r="B16">
        <v>2020</v>
      </c>
      <c r="C16">
        <f>AVERAGEIFS(
Clean_Data!AD:AD,
Clean_Data!A:A,"Rural+Urban",
Clean_Data!B:B,B16,
Clean_Data!C:C,TEXT(DATEVALUE("1-"&amp;RIGHT(A16,LEN(A16)-FIND(" ",A16))&amp;"-"&amp;B16),"mmmm")
)</f>
        <v>149.1</v>
      </c>
      <c r="D16" s="14">
        <f t="shared" si="0"/>
        <v>-7.3235685752329853E-3</v>
      </c>
      <c r="E16">
        <f>AVERAGEIFS(
Clean_Data!X:X,
Clean_Data!A:A,"Rural+Urban",
Clean_Data!B:B,B16,
Clean_Data!C:C,TEXT(DATEVALUE("1-"&amp;RIGHT(A16,LEN(A16)-FIND(" ",A16))&amp;"-"&amp;B16),"mmmm")
)</f>
        <v>151.69999999999999</v>
      </c>
      <c r="F16" s="14">
        <f t="shared" si="1"/>
        <v>3.3068783068783071E-3</v>
      </c>
      <c r="G16">
        <f>AVERAGEIFS(
Clean_Data!P:P,
Clean_Data!A:A,"Rural+Urban",
Clean_Data!B:B,B16,
Clean_Data!C:C,TEXT(DATEVALUE("1-"&amp;RIGHT(A16,LEN(A16)-FIND(" ",A16))&amp;"-"&amp;B16),"mmmm")
)</f>
        <v>150.5</v>
      </c>
      <c r="H16" s="14">
        <f t="shared" si="2"/>
        <v>-1.9543973941368076E-2</v>
      </c>
      <c r="I16">
        <f>AVERAGEIFS(
Clean_Data!V:V,
Clean_Data!A:A,"Rural+Urban",
Clean_Data!B:B,B16,
Clean_Data!C:C,TEXT(DATEVALUE("1-"&amp;RIGHT(A16,LEN(A16)-FIND(" ",A16))&amp;"-"&amp;B16),"mmmm")
)</f>
        <v>147.19999999999999</v>
      </c>
      <c r="J16" s="14">
        <f t="shared" si="3"/>
        <v>1.7980636237897609E-2</v>
      </c>
    </row>
    <row r="17" spans="1:10" x14ac:dyDescent="0.35">
      <c r="A17" t="s">
        <v>153</v>
      </c>
      <c r="B17">
        <v>2020</v>
      </c>
      <c r="C17">
        <f>AVERAGEIFS(
Clean_Data!AD:AD,
Clean_Data!A:A,"Rural+Urban",
Clean_Data!B:B,B17,
Clean_Data!C:C,TEXT(DATEVALUE("1-"&amp;RIGHT(A17,LEN(A17)-FIND(" ",A17))&amp;"-"&amp;B17),"mmmm")
)</f>
        <v>148.6</v>
      </c>
      <c r="D17" s="14">
        <f t="shared" si="0"/>
        <v>-3.3534540576794099E-3</v>
      </c>
      <c r="E17">
        <f>AVERAGEIFS(
Clean_Data!X:X,
Clean_Data!A:A,"Rural+Urban",
Clean_Data!B:B,B17,
Clean_Data!C:C,TEXT(DATEVALUE("1-"&amp;RIGHT(A17,LEN(A17)-FIND(" ",A17))&amp;"-"&amp;B17),"mmmm")
)</f>
        <v>152.30000000000001</v>
      </c>
      <c r="F17" s="14">
        <f t="shared" si="1"/>
        <v>3.9551746868821541E-3</v>
      </c>
      <c r="G17">
        <f>AVERAGEIFS(
Clean_Data!P:P,
Clean_Data!A:A,"Rural+Urban",
Clean_Data!B:B,B17,
Clean_Data!C:C,TEXT(DATEVALUE("1-"&amp;RIGHT(A17,LEN(A17)-FIND(" ",A17))&amp;"-"&amp;B17),"mmmm")
)</f>
        <v>148.9</v>
      </c>
      <c r="H17" s="14">
        <f t="shared" si="2"/>
        <v>-1.0631229235880361E-2</v>
      </c>
      <c r="I17">
        <f>AVERAGEIFS(
Clean_Data!V:V,
Clean_Data!A:A,"Rural+Urban",
Clean_Data!B:B,B17,
Clean_Data!C:C,TEXT(DATEVALUE("1-"&amp;RIGHT(A17,LEN(A17)-FIND(" ",A17))&amp;"-"&amp;B17),"mmmm")
)</f>
        <v>148.9</v>
      </c>
      <c r="J17" s="14">
        <f t="shared" si="3"/>
        <v>1.1548913043478378E-2</v>
      </c>
    </row>
    <row r="18" spans="1:10" x14ac:dyDescent="0.35">
      <c r="A18" t="s">
        <v>132</v>
      </c>
      <c r="B18">
        <v>2020</v>
      </c>
      <c r="C18">
        <f>AVERAGEIFS(
Clean_Data!AD:AD,
Clean_Data!A:A,"Rural+Urban",
Clean_Data!B:B,B18,
Clean_Data!C:C,TEXT(DATEVALUE("1-"&amp;RIGHT(A18,LEN(A18)-FIND(" ",A18))&amp;"-"&amp;B18),"mmmm")
)</f>
        <v>155.6</v>
      </c>
      <c r="D18" s="14">
        <f t="shared" si="0"/>
        <v>4.7106325706594884E-2</v>
      </c>
      <c r="E18">
        <f>AVERAGEIFS(
Clean_Data!X:X,
Clean_Data!A:A,"Rural+Urban",
Clean_Data!B:B,B18,
Clean_Data!C:C,TEXT(DATEVALUE("1-"&amp;RIGHT(A18,LEN(A18)-FIND(" ",A18))&amp;"-"&amp;B18),"mmmm")
)</f>
        <v>155.6</v>
      </c>
      <c r="F18" s="14">
        <f t="shared" si="1"/>
        <v>2.166776099803009E-2</v>
      </c>
      <c r="G18">
        <f>AVERAGEIFS(
Clean_Data!P:P,
Clean_Data!A:A,"Rural+Urban",
Clean_Data!B:B,B18,
Clean_Data!C:C,TEXT(DATEVALUE("1-"&amp;RIGHT(A18,LEN(A18)-FIND(" ",A18))&amp;"-"&amp;B18),"mmmm")
)</f>
        <v>149.5</v>
      </c>
      <c r="H18" s="14">
        <f t="shared" si="2"/>
        <v>4.0295500335795452E-3</v>
      </c>
      <c r="I18">
        <f>AVERAGEIFS(
Clean_Data!V:V,
Clean_Data!A:A,"Rural+Urban",
Clean_Data!B:B,B18,
Clean_Data!C:C,TEXT(DATEVALUE("1-"&amp;RIGHT(A18,LEN(A18)-FIND(" ",A18))&amp;"-"&amp;B18),"mmmm")
)</f>
        <v>155.6</v>
      </c>
      <c r="J18" s="14">
        <f t="shared" si="3"/>
        <v>4.4996642041638606E-2</v>
      </c>
    </row>
    <row r="19" spans="1:10" x14ac:dyDescent="0.35">
      <c r="A19" t="s">
        <v>133</v>
      </c>
      <c r="B19">
        <v>2020</v>
      </c>
      <c r="C19">
        <f>AVERAGEIFS(
Clean_Data!AD:AD,
Clean_Data!A:A,"Rural+Urban",
Clean_Data!B:B,B19,
Clean_Data!C:C,TEXT(DATEVALUE("1-"&amp;RIGHT(A19,LEN(A19)-FIND(" ",A19))&amp;"-"&amp;B19),"mmmm")
)</f>
        <v>155.6</v>
      </c>
      <c r="D19" s="14">
        <f t="shared" si="0"/>
        <v>0</v>
      </c>
      <c r="E19">
        <f>AVERAGEIFS(
Clean_Data!X:X,
Clean_Data!A:A,"Rural+Urban",
Clean_Data!B:B,B19,
Clean_Data!C:C,TEXT(DATEVALUE("1-"&amp;RIGHT(A19,LEN(A19)-FIND(" ",A19))&amp;"-"&amp;B19),"mmmm")
)</f>
        <v>155.6</v>
      </c>
      <c r="F19" s="14">
        <f t="shared" si="1"/>
        <v>0</v>
      </c>
      <c r="G19">
        <f>AVERAGEIFS(
Clean_Data!P:P,
Clean_Data!A:A,"Rural+Urban",
Clean_Data!B:B,B19,
Clean_Data!C:C,TEXT(DATEVALUE("1-"&amp;RIGHT(A19,LEN(A19)-FIND(" ",A19))&amp;"-"&amp;B19),"mmmm")
)</f>
        <v>149.5</v>
      </c>
      <c r="H19" s="14">
        <f t="shared" si="2"/>
        <v>0</v>
      </c>
      <c r="I19">
        <f>AVERAGEIFS(
Clean_Data!V:V,
Clean_Data!A:A,"Rural+Urban",
Clean_Data!B:B,B19,
Clean_Data!C:C,TEXT(DATEVALUE("1-"&amp;RIGHT(A19,LEN(A19)-FIND(" ",A19))&amp;"-"&amp;B19),"mmmm")
)</f>
        <v>155.6</v>
      </c>
      <c r="J19" s="14">
        <f t="shared" si="3"/>
        <v>0</v>
      </c>
    </row>
    <row r="20" spans="1:10" x14ac:dyDescent="0.35">
      <c r="A20" t="s">
        <v>134</v>
      </c>
      <c r="B20">
        <v>2020</v>
      </c>
      <c r="C20">
        <f>AVERAGEIFS(
Clean_Data!AD:AD,
Clean_Data!A:A,"Rural+Urban",
Clean_Data!B:B,B20,
Clean_Data!C:C,TEXT(DATEVALUE("1-"&amp;RIGHT(A20,LEN(A20)-FIND(" ",A20))&amp;"-"&amp;B20),"mmmm")
)</f>
        <v>151.80000000000001</v>
      </c>
      <c r="D20" s="14">
        <f t="shared" si="0"/>
        <v>-2.4421593830334081E-2</v>
      </c>
      <c r="E20">
        <f>AVERAGEIFS(
Clean_Data!X:X,
Clean_Data!A:A,"Rural+Urban",
Clean_Data!B:B,B20,
Clean_Data!C:C,TEXT(DATEVALUE("1-"&amp;RIGHT(A20,LEN(A20)-FIND(" ",A20))&amp;"-"&amp;B20),"mmmm")
)</f>
        <v>154.4</v>
      </c>
      <c r="F20" s="14">
        <f t="shared" si="1"/>
        <v>-7.7120822622107239E-3</v>
      </c>
      <c r="G20">
        <f>AVERAGEIFS(
Clean_Data!P:P,
Clean_Data!A:A,"Rural+Urban",
Clean_Data!B:B,B20,
Clean_Data!C:C,TEXT(DATEVALUE("1-"&amp;RIGHT(A20,LEN(A20)-FIND(" ",A20))&amp;"-"&amp;B20),"mmmm")
)</f>
        <v>154</v>
      </c>
      <c r="H20" s="14">
        <f t="shared" si="2"/>
        <v>3.0100334448160536E-2</v>
      </c>
      <c r="I20">
        <f>AVERAGEIFS(
Clean_Data!V:V,
Clean_Data!A:A,"Rural+Urban",
Clean_Data!B:B,B20,
Clean_Data!C:C,TEXT(DATEVALUE("1-"&amp;RIGHT(A20,LEN(A20)-FIND(" ",A20))&amp;"-"&amp;B20),"mmmm")
)</f>
        <v>141.9</v>
      </c>
      <c r="J20" s="14">
        <f t="shared" si="3"/>
        <v>-8.8046272493573191E-2</v>
      </c>
    </row>
    <row r="21" spans="1:10" x14ac:dyDescent="0.35">
      <c r="A21" t="s">
        <v>135</v>
      </c>
      <c r="B21">
        <v>2020</v>
      </c>
      <c r="C21">
        <f>AVERAGEIFS(
Clean_Data!AD:AD,
Clean_Data!A:A,"Rural+Urban",
Clean_Data!B:B,B21,
Clean_Data!C:C,TEXT(DATEVALUE("1-"&amp;RIGHT(A21,LEN(A21)-FIND(" ",A21))&amp;"-"&amp;B21),"mmmm")
)</f>
        <v>151.80000000000001</v>
      </c>
      <c r="D21" s="14">
        <f t="shared" si="0"/>
        <v>0</v>
      </c>
      <c r="E21">
        <f>AVERAGEIFS(
Clean_Data!X:X,
Clean_Data!A:A,"Rural+Urban",
Clean_Data!B:B,B21,
Clean_Data!C:C,TEXT(DATEVALUE("1-"&amp;RIGHT(A21,LEN(A21)-FIND(" ",A21))&amp;"-"&amp;B21),"mmmm")
)</f>
        <v>154.4</v>
      </c>
      <c r="F21" s="14">
        <f t="shared" si="1"/>
        <v>0</v>
      </c>
      <c r="G21">
        <f>AVERAGEIFS(
Clean_Data!P:P,
Clean_Data!A:A,"Rural+Urban",
Clean_Data!B:B,B21,
Clean_Data!C:C,TEXT(DATEVALUE("1-"&amp;RIGHT(A21,LEN(A21)-FIND(" ",A21))&amp;"-"&amp;B21),"mmmm")
)</f>
        <v>154</v>
      </c>
      <c r="H21" s="14">
        <f t="shared" si="2"/>
        <v>0</v>
      </c>
      <c r="I21">
        <f>AVERAGEIFS(
Clean_Data!V:V,
Clean_Data!A:A,"Rural+Urban",
Clean_Data!B:B,B21,
Clean_Data!C:C,TEXT(DATEVALUE("1-"&amp;RIGHT(A21,LEN(A21)-FIND(" ",A21))&amp;"-"&amp;B21),"mmmm")
)</f>
        <v>141.9</v>
      </c>
      <c r="J21" s="14">
        <f t="shared" si="3"/>
        <v>0</v>
      </c>
    </row>
    <row r="22" spans="1:10" x14ac:dyDescent="0.35">
      <c r="A22" t="s">
        <v>136</v>
      </c>
      <c r="B22">
        <v>2020</v>
      </c>
      <c r="C22">
        <f>AVERAGEIFS(
Clean_Data!AD:AD,
Clean_Data!A:A,"Rural+Urban",
Clean_Data!B:B,B22,
Clean_Data!C:C,TEXT(DATEVALUE("1-"&amp;RIGHT(A22,LEN(A22)-FIND(" ",A22))&amp;"-"&amp;B22),"mmmm")
)</f>
        <v>153.9</v>
      </c>
      <c r="D22" s="14">
        <f t="shared" si="0"/>
        <v>1.3833992094861622E-2</v>
      </c>
      <c r="E22">
        <f>AVERAGEIFS(
Clean_Data!X:X,
Clean_Data!A:A,"Rural+Urban",
Clean_Data!B:B,B22,
Clean_Data!C:C,TEXT(DATEVALUE("1-"&amp;RIGHT(A22,LEN(A22)-FIND(" ",A22))&amp;"-"&amp;B22),"mmmm")
)</f>
        <v>155</v>
      </c>
      <c r="F22" s="14">
        <f t="shared" si="1"/>
        <v>3.8860103626942636E-3</v>
      </c>
      <c r="G22">
        <f>AVERAGEIFS(
Clean_Data!P:P,
Clean_Data!A:A,"Rural+Urban",
Clean_Data!B:B,B22,
Clean_Data!C:C,TEXT(DATEVALUE("1-"&amp;RIGHT(A22,LEN(A22)-FIND(" ",A22))&amp;"-"&amp;B22),"mmmm")
)</f>
        <v>157</v>
      </c>
      <c r="H22" s="14">
        <f t="shared" si="2"/>
        <v>1.948051948051948E-2</v>
      </c>
      <c r="I22">
        <f>AVERAGEIFS(
Clean_Data!V:V,
Clean_Data!A:A,"Rural+Urban",
Clean_Data!B:B,B22,
Clean_Data!C:C,TEXT(DATEVALUE("1-"&amp;RIGHT(A22,LEN(A22)-FIND(" ",A22))&amp;"-"&amp;B22),"mmmm")
)</f>
        <v>143</v>
      </c>
      <c r="J22" s="14">
        <f t="shared" si="3"/>
        <v>7.751937984496084E-3</v>
      </c>
    </row>
    <row r="23" spans="1:10" x14ac:dyDescent="0.35">
      <c r="A23" t="s">
        <v>137</v>
      </c>
      <c r="B23">
        <v>2020</v>
      </c>
      <c r="C23">
        <f>AVERAGEIFS(
Clean_Data!AD:AD,
Clean_Data!A:A,"Rural+Urban",
Clean_Data!B:B,B23,
Clean_Data!C:C,TEXT(DATEVALUE("1-"&amp;RIGHT(A23,LEN(A23)-FIND(" ",A23))&amp;"-"&amp;B23),"mmmm")
)</f>
        <v>154.69999999999999</v>
      </c>
      <c r="D23" s="14">
        <f t="shared" si="0"/>
        <v>5.1981806367770167E-3</v>
      </c>
      <c r="E23">
        <f>AVERAGEIFS(
Clean_Data!X:X,
Clean_Data!A:A,"Rural+Urban",
Clean_Data!B:B,B23,
Clean_Data!C:C,TEXT(DATEVALUE("1-"&amp;RIGHT(A23,LEN(A23)-FIND(" ",A23))&amp;"-"&amp;B23),"mmmm")
)</f>
        <v>155.6</v>
      </c>
      <c r="F23" s="14">
        <f t="shared" si="1"/>
        <v>3.870967741935447E-3</v>
      </c>
      <c r="G23">
        <f>AVERAGEIFS(
Clean_Data!P:P,
Clean_Data!A:A,"Rural+Urban",
Clean_Data!B:B,B23,
Clean_Data!C:C,TEXT(DATEVALUE("1-"&amp;RIGHT(A23,LEN(A23)-FIND(" ",A23))&amp;"-"&amp;B23),"mmmm")
)</f>
        <v>158</v>
      </c>
      <c r="H23" s="14">
        <f t="shared" si="2"/>
        <v>6.369426751592357E-3</v>
      </c>
      <c r="I23">
        <f>AVERAGEIFS(
Clean_Data!V:V,
Clean_Data!A:A,"Rural+Urban",
Clean_Data!B:B,B23,
Clean_Data!C:C,TEXT(DATEVALUE("1-"&amp;RIGHT(A23,LEN(A23)-FIND(" ",A23))&amp;"-"&amp;B23),"mmmm")
)</f>
        <v>142.9</v>
      </c>
      <c r="J23" s="14">
        <f t="shared" si="3"/>
        <v>-6.9930069930065951E-4</v>
      </c>
    </row>
    <row r="24" spans="1:10" x14ac:dyDescent="0.35">
      <c r="A24" t="s">
        <v>138</v>
      </c>
      <c r="B24">
        <v>2020</v>
      </c>
      <c r="C24">
        <f>AVERAGEIFS(
Clean_Data!AD:AD,
Clean_Data!A:A,"Rural+Urban",
Clean_Data!B:B,B24,
Clean_Data!C:C,TEXT(DATEVALUE("1-"&amp;RIGHT(A24,LEN(A24)-FIND(" ",A24))&amp;"-"&amp;B24),"mmmm")
)</f>
        <v>156.4</v>
      </c>
      <c r="D24" s="14">
        <f t="shared" si="0"/>
        <v>1.0989010989011101E-2</v>
      </c>
      <c r="E24">
        <f>AVERAGEIFS(
Clean_Data!X:X,
Clean_Data!A:A,"Rural+Urban",
Clean_Data!B:B,B24,
Clean_Data!C:C,TEXT(DATEVALUE("1-"&amp;RIGHT(A24,LEN(A24)-FIND(" ",A24))&amp;"-"&amp;B24),"mmmm")
)</f>
        <v>156.30000000000001</v>
      </c>
      <c r="F24" s="14">
        <f t="shared" si="1"/>
        <v>4.4987146529564077E-3</v>
      </c>
      <c r="G24">
        <f>AVERAGEIFS(
Clean_Data!P:P,
Clean_Data!A:A,"Rural+Urban",
Clean_Data!B:B,B24,
Clean_Data!C:C,TEXT(DATEVALUE("1-"&amp;RIGHT(A24,LEN(A24)-FIND(" ",A24))&amp;"-"&amp;B24),"mmmm")
)</f>
        <v>161.4</v>
      </c>
      <c r="H24" s="14">
        <f t="shared" si="2"/>
        <v>2.1518987341772187E-2</v>
      </c>
      <c r="I24">
        <f>AVERAGEIFS(
Clean_Data!V:V,
Clean_Data!A:A,"Rural+Urban",
Clean_Data!B:B,B24,
Clean_Data!C:C,TEXT(DATEVALUE("1-"&amp;RIGHT(A24,LEN(A24)-FIND(" ",A24))&amp;"-"&amp;B24),"mmmm")
)</f>
        <v>143.1</v>
      </c>
      <c r="J24" s="14">
        <f t="shared" si="3"/>
        <v>1.3995801259621317E-3</v>
      </c>
    </row>
    <row r="25" spans="1:10" x14ac:dyDescent="0.35">
      <c r="A25" t="s">
        <v>139</v>
      </c>
      <c r="B25">
        <v>2020</v>
      </c>
      <c r="C25">
        <f>AVERAGEIFS(
Clean_Data!AD:AD,
Clean_Data!A:A,"Rural+Urban",
Clean_Data!B:B,B25,
Clean_Data!C:C,TEXT(DATEVALUE("1-"&amp;RIGHT(A25,LEN(A25)-FIND(" ",A25))&amp;"-"&amp;B25),"mmmm")
)</f>
        <v>158.4</v>
      </c>
      <c r="D25" s="14">
        <f t="shared" si="0"/>
        <v>1.278772378516624E-2</v>
      </c>
      <c r="E25">
        <f>AVERAGEIFS(
Clean_Data!X:X,
Clean_Data!A:A,"Rural+Urban",
Clean_Data!B:B,B25,
Clean_Data!C:C,TEXT(DATEVALUE("1-"&amp;RIGHT(A25,LEN(A25)-FIND(" ",A25))&amp;"-"&amp;B25),"mmmm")
)</f>
        <v>157.19999999999999</v>
      </c>
      <c r="F25" s="14">
        <f t="shared" si="1"/>
        <v>5.7581573896351712E-3</v>
      </c>
      <c r="G25">
        <f>AVERAGEIFS(
Clean_Data!P:P,
Clean_Data!A:A,"Rural+Urban",
Clean_Data!B:B,B25,
Clean_Data!C:C,TEXT(DATEVALUE("1-"&amp;RIGHT(A25,LEN(A25)-FIND(" ",A25))&amp;"-"&amp;B25),"mmmm")
)</f>
        <v>164.7</v>
      </c>
      <c r="H25" s="14">
        <f t="shared" si="2"/>
        <v>2.0446096654274985E-2</v>
      </c>
      <c r="I25">
        <f>AVERAGEIFS(
Clean_Data!V:V,
Clean_Data!A:A,"Rural+Urban",
Clean_Data!B:B,B25,
Clean_Data!C:C,TEXT(DATEVALUE("1-"&amp;RIGHT(A25,LEN(A25)-FIND(" ",A25))&amp;"-"&amp;B25),"mmmm")
)</f>
        <v>143.6</v>
      </c>
      <c r="J25" s="14">
        <f t="shared" si="3"/>
        <v>3.4940600978336828E-3</v>
      </c>
    </row>
    <row r="26" spans="1:10" x14ac:dyDescent="0.35">
      <c r="A26" t="s">
        <v>140</v>
      </c>
      <c r="B26">
        <v>2020</v>
      </c>
      <c r="C26">
        <f>AVERAGEIFS(
Clean_Data!AD:AD,
Clean_Data!A:A,"Rural+Urban",
Clean_Data!B:B,B26,
Clean_Data!C:C,TEXT(DATEVALUE("1-"&amp;RIGHT(A26,LEN(A26)-FIND(" ",A26))&amp;"-"&amp;B26),"mmmm")
)</f>
        <v>158.9</v>
      </c>
      <c r="D26" s="14">
        <f t="shared" si="0"/>
        <v>3.1565656565656565E-3</v>
      </c>
      <c r="E26">
        <f>AVERAGEIFS(
Clean_Data!X:X,
Clean_Data!A:A,"Rural+Urban",
Clean_Data!B:B,B26,
Clean_Data!C:C,TEXT(DATEVALUE("1-"&amp;RIGHT(A26,LEN(A26)-FIND(" ",A26))&amp;"-"&amp;B26),"mmmm")
)</f>
        <v>158.30000000000001</v>
      </c>
      <c r="F26" s="14">
        <f t="shared" si="1"/>
        <v>6.9974554707380584E-3</v>
      </c>
      <c r="G26">
        <f>AVERAGEIFS(
Clean_Data!P:P,
Clean_Data!A:A,"Rural+Urban",
Clean_Data!B:B,B26,
Clean_Data!C:C,TEXT(DATEVALUE("1-"&amp;RIGHT(A26,LEN(A26)-FIND(" ",A26))&amp;"-"&amp;B26),"mmmm")
)</f>
        <v>165.4</v>
      </c>
      <c r="H26" s="14">
        <f t="shared" si="2"/>
        <v>4.2501517911355015E-3</v>
      </c>
      <c r="I26">
        <f>AVERAGEIFS(
Clean_Data!V:V,
Clean_Data!A:A,"Rural+Urban",
Clean_Data!B:B,B26,
Clean_Data!C:C,TEXT(DATEVALUE("1-"&amp;RIGHT(A26,LEN(A26)-FIND(" ",A26))&amp;"-"&amp;B26),"mmmm")
)</f>
        <v>144.6</v>
      </c>
      <c r="J26" s="14">
        <f t="shared" si="3"/>
        <v>6.9637883008356553E-3</v>
      </c>
    </row>
    <row r="27" spans="1:10" x14ac:dyDescent="0.35">
      <c r="A27" t="s">
        <v>141</v>
      </c>
      <c r="B27">
        <v>2021</v>
      </c>
      <c r="C27">
        <f>AVERAGEIFS(
Clean_Data!AD:AD,
Clean_Data!A:A,"Rural+Urban",
Clean_Data!B:B,B27,
Clean_Data!C:C,TEXT(DATEVALUE("1-"&amp;RIGHT(A27,LEN(A27)-FIND(" ",A27))&amp;"-"&amp;B27),"mmmm")
)</f>
        <v>157.30000000000001</v>
      </c>
      <c r="D27" s="14">
        <f t="shared" si="0"/>
        <v>-1.006922592825673E-2</v>
      </c>
      <c r="E27">
        <f>AVERAGEIFS(
Clean_Data!X:X,
Clean_Data!A:A,"Rural+Urban",
Clean_Data!B:B,B27,
Clean_Data!C:C,TEXT(DATEVALUE("1-"&amp;RIGHT(A27,LEN(A27)-FIND(" ",A27))&amp;"-"&amp;B27),"mmmm")
)</f>
        <v>159.30000000000001</v>
      </c>
      <c r="F27" s="14">
        <f t="shared" si="1"/>
        <v>6.3171193935565376E-3</v>
      </c>
      <c r="G27">
        <f>AVERAGEIFS(
Clean_Data!P:P,
Clean_Data!A:A,"Rural+Urban",
Clean_Data!B:B,B27,
Clean_Data!C:C,TEXT(DATEVALUE("1-"&amp;RIGHT(A27,LEN(A27)-FIND(" ",A27))&amp;"-"&amp;B27),"mmmm")
)</f>
        <v>161</v>
      </c>
      <c r="H27" s="14">
        <f t="shared" si="2"/>
        <v>-2.6602176541717083E-2</v>
      </c>
      <c r="I27">
        <f>AVERAGEIFS(
Clean_Data!V:V,
Clean_Data!A:A,"Rural+Urban",
Clean_Data!B:B,B27,
Clean_Data!C:C,TEXT(DATEVALUE("1-"&amp;RIGHT(A27,LEN(A27)-FIND(" ",A27))&amp;"-"&amp;B27),"mmmm")
)</f>
        <v>147.9</v>
      </c>
      <c r="J27" s="14">
        <f t="shared" si="3"/>
        <v>2.2821576763485556E-2</v>
      </c>
    </row>
    <row r="28" spans="1:10" x14ac:dyDescent="0.35">
      <c r="A28" t="s">
        <v>142</v>
      </c>
      <c r="B28">
        <v>2021</v>
      </c>
      <c r="C28">
        <f>AVERAGEIFS(
Clean_Data!AD:AD,
Clean_Data!A:A,"Rural+Urban",
Clean_Data!B:B,B28,
Clean_Data!C:C,TEXT(DATEVALUE("1-"&amp;RIGHT(A28,LEN(A28)-FIND(" ",A28))&amp;"-"&amp;B28),"mmmm")
)</f>
        <v>156.6</v>
      </c>
      <c r="D28" s="14">
        <f t="shared" si="0"/>
        <v>-4.4500953591863762E-3</v>
      </c>
      <c r="E28">
        <f>AVERAGEIFS(
Clean_Data!X:X,
Clean_Data!A:A,"Rural+Urban",
Clean_Data!B:B,B28,
Clean_Data!C:C,TEXT(DATEVALUE("1-"&amp;RIGHT(A28,LEN(A28)-FIND(" ",A28))&amp;"-"&amp;B28),"mmmm")
)</f>
        <v>161.30000000000001</v>
      </c>
      <c r="F28" s="14">
        <f t="shared" si="1"/>
        <v>1.2554927809165096E-2</v>
      </c>
      <c r="G28">
        <f>AVERAGEIFS(
Clean_Data!P:P,
Clean_Data!A:A,"Rural+Urban",
Clean_Data!B:B,B28,
Clean_Data!C:C,TEXT(DATEVALUE("1-"&amp;RIGHT(A28,LEN(A28)-FIND(" ",A28))&amp;"-"&amp;B28),"mmmm")
)</f>
        <v>156.9</v>
      </c>
      <c r="H28" s="14">
        <f t="shared" si="2"/>
        <v>-2.5465838509316736E-2</v>
      </c>
      <c r="I28">
        <f>AVERAGEIFS(
Clean_Data!V:V,
Clean_Data!A:A,"Rural+Urban",
Clean_Data!B:B,B28,
Clean_Data!C:C,TEXT(DATEVALUE("1-"&amp;RIGHT(A28,LEN(A28)-FIND(" ",A28))&amp;"-"&amp;B28),"mmmm")
)</f>
        <v>152.4</v>
      </c>
      <c r="J28" s="14">
        <f t="shared" si="3"/>
        <v>3.0425963488843813E-2</v>
      </c>
    </row>
    <row r="29" spans="1:10" x14ac:dyDescent="0.35">
      <c r="A29" t="s">
        <v>143</v>
      </c>
      <c r="B29">
        <v>2021</v>
      </c>
      <c r="C29">
        <f>AVERAGEIFS(
Clean_Data!AD:AD,
Clean_Data!A:A,"Rural+Urban",
Clean_Data!B:B,B29,
Clean_Data!C:C,TEXT(DATEVALUE("1-"&amp;RIGHT(A29,LEN(A29)-FIND(" ",A29))&amp;"-"&amp;B29),"mmmm")
)</f>
        <v>156.80000000000001</v>
      </c>
      <c r="D29" s="14">
        <f t="shared" si="0"/>
        <v>1.2771392081737999E-3</v>
      </c>
      <c r="E29">
        <f>AVERAGEIFS(
Clean_Data!X:X,
Clean_Data!A:A,"Rural+Urban",
Clean_Data!B:B,B29,
Clean_Data!C:C,TEXT(DATEVALUE("1-"&amp;RIGHT(A29,LEN(A29)-FIND(" ",A29))&amp;"-"&amp;B29),"mmmm")
)</f>
        <v>161.69999999999999</v>
      </c>
      <c r="F29" s="14">
        <f t="shared" si="1"/>
        <v>2.4798512089273233E-3</v>
      </c>
      <c r="G29">
        <f>AVERAGEIFS(
Clean_Data!P:P,
Clean_Data!A:A,"Rural+Urban",
Clean_Data!B:B,B29,
Clean_Data!C:C,TEXT(DATEVALUE("1-"&amp;RIGHT(A29,LEN(A29)-FIND(" ",A29))&amp;"-"&amp;B29),"mmmm")
)</f>
        <v>156.69999999999999</v>
      </c>
      <c r="H29" s="14">
        <f t="shared" si="2"/>
        <v>-1.2746972594010009E-3</v>
      </c>
      <c r="I29">
        <f>AVERAGEIFS(
Clean_Data!V:V,
Clean_Data!A:A,"Rural+Urban",
Clean_Data!B:B,B29,
Clean_Data!C:C,TEXT(DATEVALUE("1-"&amp;RIGHT(A29,LEN(A29)-FIND(" ",A29))&amp;"-"&amp;B29),"mmmm")
)</f>
        <v>155.5</v>
      </c>
      <c r="J29" s="14">
        <f t="shared" si="3"/>
        <v>2.0341207349081326E-2</v>
      </c>
    </row>
    <row r="30" spans="1:10" x14ac:dyDescent="0.35">
      <c r="A30" t="s">
        <v>144</v>
      </c>
      <c r="B30">
        <v>2021</v>
      </c>
      <c r="C30">
        <f>AVERAGEIFS(
Clean_Data!AD:AD,
Clean_Data!A:A,"Rural+Urban",
Clean_Data!B:B,B30,
Clean_Data!C:C,TEXT(DATEVALUE("1-"&amp;RIGHT(A30,LEN(A30)-FIND(" ",A30))&amp;"-"&amp;B30),"mmmm")
)</f>
        <v>157.80000000000001</v>
      </c>
      <c r="D30" s="14">
        <f t="shared" si="0"/>
        <v>6.3775510204081625E-3</v>
      </c>
      <c r="E30">
        <f>AVERAGEIFS(
Clean_Data!X:X,
Clean_Data!A:A,"Rural+Urban",
Clean_Data!B:B,B30,
Clean_Data!C:C,TEXT(DATEVALUE("1-"&amp;RIGHT(A30,LEN(A30)-FIND(" ",A30))&amp;"-"&amp;B30),"mmmm")
)</f>
        <v>162.30000000000001</v>
      </c>
      <c r="F30" s="14">
        <f t="shared" si="1"/>
        <v>3.7105751391467087E-3</v>
      </c>
      <c r="G30">
        <f>AVERAGEIFS(
Clean_Data!P:P,
Clean_Data!A:A,"Rural+Urban",
Clean_Data!B:B,B30,
Clean_Data!C:C,TEXT(DATEVALUE("1-"&amp;RIGHT(A30,LEN(A30)-FIND(" ",A30))&amp;"-"&amp;B30),"mmmm")
)</f>
        <v>158</v>
      </c>
      <c r="H30" s="14">
        <f t="shared" si="2"/>
        <v>8.2961072112317253E-3</v>
      </c>
      <c r="I30">
        <f>AVERAGEIFS(
Clean_Data!V:V,
Clean_Data!A:A,"Rural+Urban",
Clean_Data!B:B,B30,
Clean_Data!C:C,TEXT(DATEVALUE("1-"&amp;RIGHT(A30,LEN(A30)-FIND(" ",A30))&amp;"-"&amp;B30),"mmmm")
)</f>
        <v>155.6</v>
      </c>
      <c r="J30" s="14">
        <f t="shared" si="3"/>
        <v>6.4308681672022071E-4</v>
      </c>
    </row>
    <row r="31" spans="1:10" x14ac:dyDescent="0.35">
      <c r="A31" t="s">
        <v>145</v>
      </c>
      <c r="B31">
        <v>2021</v>
      </c>
      <c r="C31">
        <f>AVERAGEIFS(
Clean_Data!AD:AD,
Clean_Data!A:A,"Rural+Urban",
Clean_Data!B:B,B31,
Clean_Data!C:C,TEXT(DATEVALUE("1-"&amp;RIGHT(A31,LEN(A31)-FIND(" ",A31))&amp;"-"&amp;B31),"mmmm")
)</f>
        <v>160.4</v>
      </c>
      <c r="D31" s="14">
        <f t="shared" si="0"/>
        <v>1.6476552598225565E-2</v>
      </c>
      <c r="E31">
        <f>AVERAGEIFS(
Clean_Data!X:X,
Clean_Data!A:A,"Rural+Urban",
Clean_Data!B:B,B31,
Clean_Data!C:C,TEXT(DATEVALUE("1-"&amp;RIGHT(A31,LEN(A31)-FIND(" ",A31))&amp;"-"&amp;B31),"mmmm")
)</f>
        <v>165.8</v>
      </c>
      <c r="F31" s="14">
        <f t="shared" si="1"/>
        <v>2.1565003080714726E-2</v>
      </c>
      <c r="G31">
        <f>AVERAGEIFS(
Clean_Data!P:P,
Clean_Data!A:A,"Rural+Urban",
Clean_Data!B:B,B31,
Clean_Data!C:C,TEXT(DATEVALUE("1-"&amp;RIGHT(A31,LEN(A31)-FIND(" ",A31))&amp;"-"&amp;B31),"mmmm")
)</f>
        <v>160.69999999999999</v>
      </c>
      <c r="H31" s="14">
        <f t="shared" si="2"/>
        <v>1.7088607594936637E-2</v>
      </c>
      <c r="I31">
        <f>AVERAGEIFS(
Clean_Data!V:V,
Clean_Data!A:A,"Rural+Urban",
Clean_Data!B:B,B31,
Clean_Data!C:C,TEXT(DATEVALUE("1-"&amp;RIGHT(A31,LEN(A31)-FIND(" ",A31))&amp;"-"&amp;B31),"mmmm")
)</f>
        <v>159.4</v>
      </c>
      <c r="J31" s="14">
        <f t="shared" si="3"/>
        <v>2.4421593830334265E-2</v>
      </c>
    </row>
    <row r="32" spans="1:10" x14ac:dyDescent="0.35">
      <c r="A32" t="s">
        <v>146</v>
      </c>
      <c r="B32">
        <v>2021</v>
      </c>
      <c r="C32">
        <f>AVERAGEIFS(
Clean_Data!AD:AD,
Clean_Data!A:A,"Rural+Urban",
Clean_Data!B:B,B32,
Clean_Data!C:C,TEXT(DATEVALUE("1-"&amp;RIGHT(A32,LEN(A32)-FIND(" ",A32))&amp;"-"&amp;B32),"mmmm")
)</f>
        <v>161.30000000000001</v>
      </c>
      <c r="D32" s="14">
        <f t="shared" si="0"/>
        <v>5.6109725685785893E-3</v>
      </c>
      <c r="E32">
        <f>AVERAGEIFS(
Clean_Data!X:X,
Clean_Data!A:A,"Rural+Urban",
Clean_Data!B:B,B32,
Clean_Data!C:C,TEXT(DATEVALUE("1-"&amp;RIGHT(A32,LEN(A32)-FIND(" ",A32))&amp;"-"&amp;B32),"mmmm")
)</f>
        <v>166.3</v>
      </c>
      <c r="F32" s="14">
        <f t="shared" si="1"/>
        <v>3.0156815440289505E-3</v>
      </c>
      <c r="G32">
        <f>AVERAGEIFS(
Clean_Data!P:P,
Clean_Data!A:A,"Rural+Urban",
Clean_Data!B:B,B32,
Clean_Data!C:C,TEXT(DATEVALUE("1-"&amp;RIGHT(A32,LEN(A32)-FIND(" ",A32))&amp;"-"&amp;B32),"mmmm")
)</f>
        <v>162.6</v>
      </c>
      <c r="H32" s="14">
        <f t="shared" si="2"/>
        <v>1.1823273179838244E-2</v>
      </c>
      <c r="I32">
        <f>AVERAGEIFS(
Clean_Data!V:V,
Clean_Data!A:A,"Rural+Urban",
Clean_Data!B:B,B32,
Clean_Data!C:C,TEXT(DATEVALUE("1-"&amp;RIGHT(A32,LEN(A32)-FIND(" ",A32))&amp;"-"&amp;B32),"mmmm")
)</f>
        <v>159.80000000000001</v>
      </c>
      <c r="J32" s="14">
        <f t="shared" si="3"/>
        <v>2.5094102885822186E-3</v>
      </c>
    </row>
    <row r="33" spans="1:10" x14ac:dyDescent="0.35">
      <c r="A33" t="s">
        <v>147</v>
      </c>
      <c r="B33">
        <v>2021</v>
      </c>
      <c r="C33">
        <f>AVERAGEIFS(
Clean_Data!AD:AD,
Clean_Data!A:A,"Rural+Urban",
Clean_Data!B:B,B33,
Clean_Data!C:C,TEXT(DATEVALUE("1-"&amp;RIGHT(A33,LEN(A33)-FIND(" ",A33))&amp;"-"&amp;B33),"mmmm")
)</f>
        <v>162.5</v>
      </c>
      <c r="D33" s="14">
        <f t="shared" si="0"/>
        <v>7.439553626782322E-3</v>
      </c>
      <c r="E33">
        <f>AVERAGEIFS(
Clean_Data!X:X,
Clean_Data!A:A,"Rural+Urban",
Clean_Data!B:B,B33,
Clean_Data!C:C,TEXT(DATEVALUE("1-"&amp;RIGHT(A33,LEN(A33)-FIND(" ",A33))&amp;"-"&amp;B33),"mmmm")
)</f>
        <v>167</v>
      </c>
      <c r="F33" s="14">
        <f t="shared" si="1"/>
        <v>4.2092603728201361E-3</v>
      </c>
      <c r="G33">
        <f>AVERAGEIFS(
Clean_Data!P:P,
Clean_Data!A:A,"Rural+Urban",
Clean_Data!B:B,B33,
Clean_Data!C:C,TEXT(DATEVALUE("1-"&amp;RIGHT(A33,LEN(A33)-FIND(" ",A33))&amp;"-"&amp;B33),"mmmm")
)</f>
        <v>164</v>
      </c>
      <c r="H33" s="14">
        <f t="shared" si="2"/>
        <v>8.6100861008610446E-3</v>
      </c>
      <c r="I33">
        <f>AVERAGEIFS(
Clean_Data!V:V,
Clean_Data!A:A,"Rural+Urban",
Clean_Data!B:B,B33,
Clean_Data!C:C,TEXT(DATEVALUE("1-"&amp;RIGHT(A33,LEN(A33)-FIND(" ",A33))&amp;"-"&amp;B33),"mmmm")
)</f>
        <v>160.69999999999999</v>
      </c>
      <c r="J33" s="14">
        <f t="shared" si="3"/>
        <v>5.6320400500624356E-3</v>
      </c>
    </row>
    <row r="34" spans="1:10" x14ac:dyDescent="0.35">
      <c r="A34" t="s">
        <v>148</v>
      </c>
      <c r="B34">
        <v>2021</v>
      </c>
      <c r="C34">
        <f>AVERAGEIFS(
Clean_Data!AD:AD,
Clean_Data!A:A,"Rural+Urban",
Clean_Data!B:B,B34,
Clean_Data!C:C,TEXT(DATEVALUE("1-"&amp;RIGHT(A34,LEN(A34)-FIND(" ",A34))&amp;"-"&amp;B34),"mmmm")
)</f>
        <v>163.19999999999999</v>
      </c>
      <c r="D34" s="14">
        <f t="shared" si="0"/>
        <v>4.3076923076922381E-3</v>
      </c>
      <c r="E34">
        <f>AVERAGEIFS(
Clean_Data!X:X,
Clean_Data!A:A,"Rural+Urban",
Clean_Data!B:B,B34,
Clean_Data!C:C,TEXT(DATEVALUE("1-"&amp;RIGHT(A34,LEN(A34)-FIND(" ",A34))&amp;"-"&amp;B34),"mmmm")
)</f>
        <v>168.4</v>
      </c>
      <c r="F34" s="14">
        <f t="shared" si="1"/>
        <v>8.3832335329341659E-3</v>
      </c>
      <c r="G34">
        <f>AVERAGEIFS(
Clean_Data!P:P,
Clean_Data!A:A,"Rural+Urban",
Clean_Data!B:B,B34,
Clean_Data!C:C,TEXT(DATEVALUE("1-"&amp;RIGHT(A34,LEN(A34)-FIND(" ",A34))&amp;"-"&amp;B34),"mmmm")
)</f>
        <v>164</v>
      </c>
      <c r="H34" s="14">
        <f t="shared" si="2"/>
        <v>0</v>
      </c>
      <c r="I34">
        <f>AVERAGEIFS(
Clean_Data!V:V,
Clean_Data!A:A,"Rural+Urban",
Clean_Data!B:B,B34,
Clean_Data!C:C,TEXT(DATEVALUE("1-"&amp;RIGHT(A34,LEN(A34)-FIND(" ",A34))&amp;"-"&amp;B34),"mmmm")
)</f>
        <v>162.6</v>
      </c>
      <c r="J34" s="14">
        <f t="shared" si="3"/>
        <v>1.1823273179838244E-2</v>
      </c>
    </row>
    <row r="35" spans="1:10" x14ac:dyDescent="0.35">
      <c r="A35" t="s">
        <v>149</v>
      </c>
      <c r="B35">
        <v>2021</v>
      </c>
      <c r="C35">
        <f>AVERAGEIFS(
Clean_Data!AD:AD,
Clean_Data!A:A,"Rural+Urban",
Clean_Data!B:B,B35,
Clean_Data!C:C,TEXT(DATEVALUE("1-"&amp;RIGHT(A35,LEN(A35)-FIND(" ",A35))&amp;"-"&amp;B35),"mmmm")
)</f>
        <v>163.19999999999999</v>
      </c>
      <c r="D35" s="14">
        <f t="shared" si="0"/>
        <v>0</v>
      </c>
      <c r="E35">
        <f>AVERAGEIFS(
Clean_Data!X:X,
Clean_Data!A:A,"Rural+Urban",
Clean_Data!B:B,B35,
Clean_Data!C:C,TEXT(DATEVALUE("1-"&amp;RIGHT(A35,LEN(A35)-FIND(" ",A35))&amp;"-"&amp;B35),"mmmm")
)</f>
        <v>168.4</v>
      </c>
      <c r="F35" s="14">
        <f t="shared" si="1"/>
        <v>0</v>
      </c>
      <c r="G35">
        <f>AVERAGEIFS(
Clean_Data!P:P,
Clean_Data!A:A,"Rural+Urban",
Clean_Data!B:B,B35,
Clean_Data!C:C,TEXT(DATEVALUE("1-"&amp;RIGHT(A35,LEN(A35)-FIND(" ",A35))&amp;"-"&amp;B35),"mmmm")
)</f>
        <v>164</v>
      </c>
      <c r="H35" s="14">
        <f t="shared" si="2"/>
        <v>0</v>
      </c>
      <c r="I35">
        <f>AVERAGEIFS(
Clean_Data!V:V,
Clean_Data!A:A,"Rural+Urban",
Clean_Data!B:B,B35,
Clean_Data!C:C,TEXT(DATEVALUE("1-"&amp;RIGHT(A35,LEN(A35)-FIND(" ",A35))&amp;"-"&amp;B35),"mmmm")
)</f>
        <v>162.6</v>
      </c>
      <c r="J35" s="14">
        <f t="shared" si="3"/>
        <v>0</v>
      </c>
    </row>
    <row r="36" spans="1:10" x14ac:dyDescent="0.35">
      <c r="A36" t="s">
        <v>150</v>
      </c>
      <c r="B36">
        <v>2021</v>
      </c>
      <c r="C36">
        <f>AVERAGEIFS(
Clean_Data!AD:AD,
Clean_Data!A:A,"Rural+Urban",
Clean_Data!B:B,B36,
Clean_Data!C:C,TEXT(DATEVALUE("1-"&amp;RIGHT(A36,LEN(A36)-FIND(" ",A36))&amp;"-"&amp;B36),"mmmm")
)</f>
        <v>165.5</v>
      </c>
      <c r="D36" s="14">
        <f t="shared" si="0"/>
        <v>1.4093137254902032E-2</v>
      </c>
      <c r="E36">
        <f>AVERAGEIFS(
Clean_Data!X:X,
Clean_Data!A:A,"Rural+Urban",
Clean_Data!B:B,B36,
Clean_Data!C:C,TEXT(DATEVALUE("1-"&amp;RIGHT(A36,LEN(A36)-FIND(" ",A36))&amp;"-"&amp;B36),"mmmm")
)</f>
        <v>169.1</v>
      </c>
      <c r="F36" s="14">
        <f t="shared" si="1"/>
        <v>4.1567695961994573E-3</v>
      </c>
      <c r="G36">
        <f>AVERAGEIFS(
Clean_Data!P:P,
Clean_Data!A:A,"Rural+Urban",
Clean_Data!B:B,B36,
Clean_Data!C:C,TEXT(DATEVALUE("1-"&amp;RIGHT(A36,LEN(A36)-FIND(" ",A36))&amp;"-"&amp;B36),"mmmm")
)</f>
        <v>167.7</v>
      </c>
      <c r="H36" s="14">
        <f t="shared" si="2"/>
        <v>2.2560975609756027E-2</v>
      </c>
      <c r="I36">
        <f>AVERAGEIFS(
Clean_Data!V:V,
Clean_Data!A:A,"Rural+Urban",
Clean_Data!B:B,B36,
Clean_Data!C:C,TEXT(DATEVALUE("1-"&amp;RIGHT(A36,LEN(A36)-FIND(" ",A36))&amp;"-"&amp;B36),"mmmm")
)</f>
        <v>164.2</v>
      </c>
      <c r="J36" s="14">
        <f t="shared" si="3"/>
        <v>9.8400984009839754E-3</v>
      </c>
    </row>
    <row r="37" spans="1:10" x14ac:dyDescent="0.35">
      <c r="A37" t="s">
        <v>151</v>
      </c>
      <c r="B37">
        <v>2021</v>
      </c>
      <c r="C37">
        <f>AVERAGEIFS(
Clean_Data!AD:AD,
Clean_Data!A:A,"Rural+Urban",
Clean_Data!B:B,B37,
Clean_Data!C:C,TEXT(DATEVALUE("1-"&amp;RIGHT(A37,LEN(A37)-FIND(" ",A37))&amp;"-"&amp;B37),"mmmm")
)</f>
        <v>166.7</v>
      </c>
      <c r="D37" s="14">
        <f t="shared" si="0"/>
        <v>7.2507552870089949E-3</v>
      </c>
      <c r="E37">
        <f>AVERAGEIFS(
Clean_Data!X:X,
Clean_Data!A:A,"Rural+Urban",
Clean_Data!B:B,B37,
Clean_Data!C:C,TEXT(DATEVALUE("1-"&amp;RIGHT(A37,LEN(A37)-FIND(" ",A37))&amp;"-"&amp;B37),"mmmm")
)</f>
        <v>169.9</v>
      </c>
      <c r="F37" s="14">
        <f t="shared" si="1"/>
        <v>4.730928444707341E-3</v>
      </c>
      <c r="G37">
        <f>AVERAGEIFS(
Clean_Data!P:P,
Clean_Data!A:A,"Rural+Urban",
Clean_Data!B:B,B37,
Clean_Data!C:C,TEXT(DATEVALUE("1-"&amp;RIGHT(A37,LEN(A37)-FIND(" ",A37))&amp;"-"&amp;B37),"mmmm")
)</f>
        <v>169.7</v>
      </c>
      <c r="H37" s="14">
        <f t="shared" si="2"/>
        <v>1.1926058437686345E-2</v>
      </c>
      <c r="I37">
        <f>AVERAGEIFS(
Clean_Data!V:V,
Clean_Data!A:A,"Rural+Urban",
Clean_Data!B:B,B37,
Clean_Data!C:C,TEXT(DATEVALUE("1-"&amp;RIGHT(A37,LEN(A37)-FIND(" ",A37))&amp;"-"&amp;B37),"mmmm")
)</f>
        <v>163.9</v>
      </c>
      <c r="J37" s="14">
        <f t="shared" si="3"/>
        <v>-1.8270401948841837E-3</v>
      </c>
    </row>
    <row r="38" spans="1:10" x14ac:dyDescent="0.35">
      <c r="A38" t="s">
        <v>152</v>
      </c>
      <c r="B38">
        <v>2021</v>
      </c>
      <c r="C38">
        <f>AVERAGEIFS(
Clean_Data!AD:AD,
Clean_Data!A:A,"Rural+Urban",
Clean_Data!B:B,B38,
Clean_Data!C:C,TEXT(DATEVALUE("1-"&amp;RIGHT(A38,LEN(A38)-FIND(" ",A38))&amp;"-"&amp;B38),"mmmm")
)</f>
        <v>166.2</v>
      </c>
      <c r="D38" s="14">
        <f t="shared" si="0"/>
        <v>-2.999400119976005E-3</v>
      </c>
      <c r="E38">
        <f>AVERAGEIFS(
Clean_Data!X:X,
Clean_Data!A:A,"Rural+Urban",
Clean_Data!B:B,B38,
Clean_Data!C:C,TEXT(DATEVALUE("1-"&amp;RIGHT(A38,LEN(A38)-FIND(" ",A38))&amp;"-"&amp;B38),"mmmm")
)</f>
        <v>170.6</v>
      </c>
      <c r="F38" s="14">
        <f t="shared" si="1"/>
        <v>4.1200706297821578E-3</v>
      </c>
      <c r="G38">
        <f>AVERAGEIFS(
Clean_Data!P:P,
Clean_Data!A:A,"Rural+Urban",
Clean_Data!B:B,B38,
Clean_Data!C:C,TEXT(DATEVALUE("1-"&amp;RIGHT(A38,LEN(A38)-FIND(" ",A38))&amp;"-"&amp;B38),"mmmm")
)</f>
        <v>168.2</v>
      </c>
      <c r="H38" s="14">
        <f t="shared" si="2"/>
        <v>-8.8391278727165592E-3</v>
      </c>
      <c r="I38">
        <f>AVERAGEIFS(
Clean_Data!V:V,
Clean_Data!A:A,"Rural+Urban",
Clean_Data!B:B,B38,
Clean_Data!C:C,TEXT(DATEVALUE("1-"&amp;RIGHT(A38,LEN(A38)-FIND(" ",A38))&amp;"-"&amp;B38),"mmmm")
)</f>
        <v>164.1</v>
      </c>
      <c r="J38" s="14">
        <f t="shared" si="3"/>
        <v>1.2202562538132314E-3</v>
      </c>
    </row>
    <row r="41" spans="1:10" ht="15.5" x14ac:dyDescent="0.35">
      <c r="A41" s="55" t="s">
        <v>157</v>
      </c>
      <c r="B41" s="55"/>
      <c r="C41" s="55"/>
      <c r="D41" s="55"/>
      <c r="E41" s="55"/>
      <c r="F41" s="55"/>
      <c r="G41" s="55"/>
      <c r="H41" s="55"/>
      <c r="I41" s="55"/>
      <c r="J41" s="55"/>
    </row>
    <row r="43" spans="1:10" x14ac:dyDescent="0.35">
      <c r="A43" s="19" t="s">
        <v>81</v>
      </c>
      <c r="B43" s="19" t="s">
        <v>158</v>
      </c>
      <c r="C43" s="19" t="s">
        <v>159</v>
      </c>
      <c r="D43" s="19" t="s">
        <v>160</v>
      </c>
      <c r="E43" s="19" t="s">
        <v>161</v>
      </c>
    </row>
    <row r="44" spans="1:10" x14ac:dyDescent="0.35">
      <c r="A44" t="s">
        <v>162</v>
      </c>
      <c r="B44" s="3">
        <f>AVERAGE(C4:C16)</f>
        <v>145.02307692307693</v>
      </c>
      <c r="C44">
        <f>AVERAGE(E4:E16)</f>
        <v>148.40000000000003</v>
      </c>
      <c r="D44" s="3">
        <f>AVERAGE(G4:G16)</f>
        <v>145.74615384615385</v>
      </c>
      <c r="E44" s="3">
        <f>AVERAGE(I4:I16)</f>
        <v>141.11538461538458</v>
      </c>
    </row>
    <row r="45" spans="1:10" x14ac:dyDescent="0.35">
      <c r="A45" t="s">
        <v>163</v>
      </c>
      <c r="B45" s="3">
        <f>AVERAGE(C17:C38)</f>
        <v>158.32727272727269</v>
      </c>
      <c r="C45" s="3">
        <f>AVERAGE(E17:E38)</f>
        <v>161.12727272727273</v>
      </c>
      <c r="D45" s="3">
        <f>AVERAGE(G17:G38)</f>
        <v>159.81363636363633</v>
      </c>
      <c r="E45" s="3">
        <f>AVERAGE(I17:I38)</f>
        <v>153.17272727272726</v>
      </c>
    </row>
    <row r="49" spans="1:1" x14ac:dyDescent="0.35">
      <c r="A49" s="30" t="s">
        <v>168</v>
      </c>
    </row>
    <row r="50" spans="1:1" x14ac:dyDescent="0.35">
      <c r="A50" s="31"/>
    </row>
    <row r="51" spans="1:1" x14ac:dyDescent="0.35">
      <c r="A51" s="32" t="s">
        <v>164</v>
      </c>
    </row>
    <row r="52" spans="1:1" x14ac:dyDescent="0.35">
      <c r="A52" s="31"/>
    </row>
    <row r="53" spans="1:1" x14ac:dyDescent="0.35">
      <c r="A53" s="32" t="s">
        <v>165</v>
      </c>
    </row>
    <row r="54" spans="1:1" x14ac:dyDescent="0.35">
      <c r="A54" s="31"/>
    </row>
    <row r="55" spans="1:1" x14ac:dyDescent="0.35">
      <c r="A55" s="32" t="s">
        <v>166</v>
      </c>
    </row>
    <row r="56" spans="1:1" x14ac:dyDescent="0.35">
      <c r="A56" s="31"/>
    </row>
    <row r="57" spans="1:1" x14ac:dyDescent="0.35">
      <c r="A57" s="32" t="s">
        <v>167</v>
      </c>
    </row>
    <row r="58" spans="1:1" x14ac:dyDescent="0.35">
      <c r="A58" s="31"/>
    </row>
    <row r="59" spans="1:1" x14ac:dyDescent="0.35">
      <c r="A59" s="32"/>
    </row>
  </sheetData>
  <mergeCells count="2">
    <mergeCell ref="A1:J1"/>
    <mergeCell ref="A41:J4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D1E2-6249-413E-A33F-C4E5CDB07A1C}">
  <dimension ref="A1:S62"/>
  <sheetViews>
    <sheetView topLeftCell="A30" workbookViewId="0">
      <selection activeCell="G7" sqref="G7"/>
    </sheetView>
  </sheetViews>
  <sheetFormatPr defaultRowHeight="14.5" x14ac:dyDescent="0.35"/>
  <cols>
    <col min="1" max="1" width="31" bestFit="1" customWidth="1"/>
    <col min="2" max="2" width="17.54296875" bestFit="1" customWidth="1"/>
    <col min="3" max="3" width="12.453125" bestFit="1" customWidth="1"/>
    <col min="4" max="4" width="12.7265625" bestFit="1" customWidth="1"/>
    <col min="5" max="5" width="14.54296875" bestFit="1" customWidth="1"/>
    <col min="6" max="6" width="9.453125" bestFit="1" customWidth="1"/>
    <col min="7" max="7" width="23.54296875" customWidth="1"/>
    <col min="8" max="8" width="10.81640625" bestFit="1" customWidth="1"/>
    <col min="9" max="9" width="12.453125" bestFit="1" customWidth="1"/>
    <col min="10" max="10" width="9.36328125" bestFit="1" customWidth="1"/>
    <col min="11" max="11" width="6.26953125" bestFit="1" customWidth="1"/>
    <col min="12" max="12" width="12.7265625" bestFit="1" customWidth="1"/>
    <col min="14" max="14" width="17.54296875" bestFit="1" customWidth="1"/>
    <col min="15" max="15" width="19.26953125" bestFit="1" customWidth="1"/>
    <col min="16" max="16" width="16.08984375" bestFit="1" customWidth="1"/>
    <col min="17" max="17" width="13" bestFit="1" customWidth="1"/>
    <col min="18" max="18" width="19.54296875" bestFit="1" customWidth="1"/>
    <col min="19" max="19" width="13" bestFit="1" customWidth="1"/>
  </cols>
  <sheetData>
    <row r="1" spans="1:19" ht="33.5" customHeight="1" x14ac:dyDescent="0.35">
      <c r="A1" s="55" t="s">
        <v>169</v>
      </c>
      <c r="B1" s="55"/>
      <c r="C1" s="55"/>
      <c r="D1" s="55"/>
      <c r="E1" s="55"/>
      <c r="F1" s="55"/>
      <c r="G1" s="55"/>
    </row>
    <row r="3" spans="1:19" x14ac:dyDescent="0.35">
      <c r="A3" s="19" t="s">
        <v>81</v>
      </c>
      <c r="B3" s="19" t="s">
        <v>1</v>
      </c>
      <c r="C3" s="19" t="s">
        <v>2</v>
      </c>
      <c r="D3" s="19" t="s">
        <v>114</v>
      </c>
      <c r="E3" s="19" t="s">
        <v>170</v>
      </c>
      <c r="F3" s="19" t="s">
        <v>171</v>
      </c>
      <c r="G3" s="19" t="s">
        <v>172</v>
      </c>
      <c r="H3" s="19" t="s">
        <v>208</v>
      </c>
      <c r="I3" s="19" t="s">
        <v>21</v>
      </c>
      <c r="J3" s="19" t="s">
        <v>183</v>
      </c>
      <c r="K3" s="19" t="s">
        <v>23</v>
      </c>
      <c r="L3" s="19" t="s">
        <v>184</v>
      </c>
      <c r="M3" s="19" t="s">
        <v>185</v>
      </c>
      <c r="N3" s="19" t="s">
        <v>186</v>
      </c>
      <c r="O3" s="19" t="s">
        <v>187</v>
      </c>
      <c r="P3" s="19" t="s">
        <v>191</v>
      </c>
      <c r="Q3" s="19" t="s">
        <v>190</v>
      </c>
      <c r="R3" s="19" t="s">
        <v>189</v>
      </c>
      <c r="S3" s="19" t="s">
        <v>188</v>
      </c>
    </row>
    <row r="4" spans="1:19" x14ac:dyDescent="0.35">
      <c r="A4" t="s">
        <v>141</v>
      </c>
      <c r="B4">
        <v>2021</v>
      </c>
      <c r="C4" t="s">
        <v>31</v>
      </c>
      <c r="D4">
        <f>AVERAGEIFS(
Clean_Data!AD:AD,
Clean_Data!A:A,"Rural+Urban",
Clean_Data!B:B,B4,
Clean_Data!C:C,TEXT(DATEVALUE("1-"&amp;RIGHT(A4,LEN(A4)-FIND(" ",A4))&amp;"-"&amp;B4),"mmmm")
)</f>
        <v>157.30000000000001</v>
      </c>
      <c r="E4">
        <v>54.77</v>
      </c>
      <c r="F4" s="14"/>
      <c r="H4">
        <f>AVERAGEIFS(
Clean_Data!H:H,
Clean_Data!A:A,"Rural+Urban",
Clean_Data!B:B,B4,
Clean_Data!C:C,TEXT(DATEVALUE("1-"&amp;RIGHT(A4,LEN(A4)-FIND(" ",A4))&amp;"-"&amp;B4),"mmmm")
)</f>
        <v>150.9</v>
      </c>
      <c r="I4">
        <f>AVERAGEIFS(
Clean_Data!V:V,
Clean_Data!A:A,"Rural+Urban",
Clean_Data!B:B,B4,
Clean_Data!C:C,TEXT(DATEVALUE("1-"&amp;RIGHT(A4,LEN(A4)-FIND(" ",A4))&amp;"-"&amp;B4),"mmmm")
)</f>
        <v>147.9</v>
      </c>
      <c r="J4">
        <f>AVERAGEIFS(
Clean_Data!Y:Y,
Clean_Data!A:A,"Rural+Urban",
Clean_Data!B:B,B4,
Clean_Data!C:C,TEXT(DATEVALUE("1-"&amp;RIGHT(A4,LEN(A4)-FIND(" ",A4))&amp;"-"&amp;B4),"mmmm")
)</f>
        <v>141.9</v>
      </c>
      <c r="K4">
        <f>AVERAGEIFS(
Clean_Data!X:X,
Clean_Data!A:A,"Rural+Urban",
Clean_Data!B:B,B4,
Clean_Data!C:C,TEXT(DATEVALUE("1-"&amp;RIGHT(A4,LEN(A4)-FIND(" ",A4))&amp;"-"&amp;B4),"mmmm")
)</f>
        <v>159.30000000000001</v>
      </c>
      <c r="L4">
        <f>AVERAGEIFS(
Clean_Data!P:P,
Clean_Data!A:A,"Rural+Urban",
Clean_Data!B:B,B4,
Clean_Data!C:C,TEXT(DATEVALUE("1-"&amp;RIGHT(A4,LEN(A4)-FIND(" ",A4))&amp;"-"&amp;B4),"mmmm")
)</f>
        <v>161</v>
      </c>
      <c r="M4">
        <f>AVERAGEIFS(
Clean_Data!D:D,
Clean_Data!A:A,"Rural+Urban",
Clean_Data!B:B,B4,
Clean_Data!C:C,TEXT(DATEVALUE("1-"&amp;RIGHT(A4,LEN(A4)-FIND(" ",A4))&amp;"-"&amp;B4),"mmmm")
)</f>
        <v>144.9</v>
      </c>
      <c r="N4" s="14">
        <f>(H5-H4)/H4</f>
        <v>5.1689860834989942E-2</v>
      </c>
      <c r="O4" s="14">
        <f t="shared" ref="O4:P4" si="0">(I5-I4)/I4</f>
        <v>3.0425963488843813E-2</v>
      </c>
      <c r="P4" s="14">
        <f t="shared" si="0"/>
        <v>2.2551092318534097E-2</v>
      </c>
      <c r="Q4" s="14">
        <f t="shared" ref="Q4" si="1">(K5-K4)/K4</f>
        <v>1.2554927809165096E-2</v>
      </c>
      <c r="R4" s="14">
        <f t="shared" ref="R4:S4" si="2">(L5-L4)/L4</f>
        <v>-2.5465838509316736E-2</v>
      </c>
      <c r="S4" s="14">
        <f t="shared" si="2"/>
        <v>-4.1407867494823621E-3</v>
      </c>
    </row>
    <row r="5" spans="1:19" x14ac:dyDescent="0.35">
      <c r="A5" t="s">
        <v>142</v>
      </c>
      <c r="B5">
        <v>2021</v>
      </c>
      <c r="C5" t="s">
        <v>35</v>
      </c>
      <c r="D5">
        <f>AVERAGEIFS(
Clean_Data!AD:AD,
Clean_Data!A:A,"Rural+Urban",
Clean_Data!B:B,B5,
Clean_Data!C:C,TEXT(DATEVALUE("1-"&amp;RIGHT(A5,LEN(A5)-FIND(" ",A5))&amp;"-"&amp;B5),"mmmm")
)</f>
        <v>156.6</v>
      </c>
      <c r="E5">
        <v>61.57</v>
      </c>
      <c r="F5" s="14">
        <f>(E5-E4)/E4</f>
        <v>0.12415555961292672</v>
      </c>
      <c r="G5" s="14">
        <f>(D5-D4)/D4</f>
        <v>-4.4500953591863762E-3</v>
      </c>
      <c r="H5">
        <f>AVERAGEIFS(
Clean_Data!H:H,
Clean_Data!A:A,"Rural+Urban",
Clean_Data!B:B,B5,
Clean_Data!C:C,TEXT(DATEVALUE("1-"&amp;RIGHT(A5,LEN(A5)-FIND(" ",A5))&amp;"-"&amp;B5),"mmmm")
)</f>
        <v>158.69999999999999</v>
      </c>
      <c r="I5">
        <f>AVERAGEIFS(
Clean_Data!V:V,
Clean_Data!A:A,"Rural+Urban",
Clean_Data!B:B,B5,
Clean_Data!C:C,TEXT(DATEVALUE("1-"&amp;RIGHT(A5,LEN(A5)-FIND(" ",A5))&amp;"-"&amp;B5),"mmmm")
)</f>
        <v>152.4</v>
      </c>
      <c r="J5">
        <f>AVERAGEIFS(
Clean_Data!Y:Y,
Clean_Data!A:A,"Rural+Urban",
Clean_Data!B:B,B5,
Clean_Data!C:C,TEXT(DATEVALUE("1-"&amp;RIGHT(A5,LEN(A5)-FIND(" ",A5))&amp;"-"&amp;B5),"mmmm")
)</f>
        <v>145.1</v>
      </c>
      <c r="K5">
        <f>AVERAGEIFS(
Clean_Data!X:X,
Clean_Data!A:A,"Rural+Urban",
Clean_Data!B:B,B5,
Clean_Data!C:C,TEXT(DATEVALUE("1-"&amp;RIGHT(A5,LEN(A5)-FIND(" ",A5))&amp;"-"&amp;B5),"mmmm")
)</f>
        <v>161.30000000000001</v>
      </c>
      <c r="L5">
        <f>AVERAGEIFS(
Clean_Data!P:P,
Clean_Data!A:A,"Rural+Urban",
Clean_Data!B:B,B5,
Clean_Data!C:C,TEXT(DATEVALUE("1-"&amp;RIGHT(A5,LEN(A5)-FIND(" ",A5))&amp;"-"&amp;B5),"mmmm")
)</f>
        <v>156.9</v>
      </c>
      <c r="M5">
        <f>AVERAGEIFS(
Clean_Data!D:D,
Clean_Data!A:A,"Rural+Urban",
Clean_Data!B:B,B5,
Clean_Data!C:C,TEXT(DATEVALUE("1-"&amp;RIGHT(A5,LEN(A5)-FIND(" ",A5))&amp;"-"&amp;B5),"mmmm")
)</f>
        <v>144.30000000000001</v>
      </c>
      <c r="N5" s="14">
        <f t="shared" ref="N5:N31" si="3">(H6-H5)/H5</f>
        <v>3.2766225582860853E-2</v>
      </c>
      <c r="O5" s="14">
        <f t="shared" ref="O5:O31" si="4">(I6-I5)/I5</f>
        <v>2.0341207349081326E-2</v>
      </c>
      <c r="P5" s="14">
        <f t="shared" ref="P5:P31" si="5">(J6-J5)/J5</f>
        <v>7.5809786354238068E-3</v>
      </c>
      <c r="Q5" s="14">
        <f t="shared" ref="Q5:Q31" si="6">(K6-K5)/K5</f>
        <v>2.4798512089273233E-3</v>
      </c>
      <c r="R5" s="14">
        <f t="shared" ref="R5:R31" si="7">(L6-L5)/L5</f>
        <v>-1.2746972594010009E-3</v>
      </c>
      <c r="S5" s="14">
        <f t="shared" ref="S5:S31" si="8">(M6-M5)/M5</f>
        <v>-1.386001386001504E-3</v>
      </c>
    </row>
    <row r="6" spans="1:19" x14ac:dyDescent="0.35">
      <c r="A6" t="s">
        <v>143</v>
      </c>
      <c r="B6">
        <v>2021</v>
      </c>
      <c r="C6" t="s">
        <v>36</v>
      </c>
      <c r="D6">
        <f>AVERAGEIFS(
Clean_Data!AD:AD,
Clean_Data!A:A,"Rural+Urban",
Clean_Data!B:B,B6,
Clean_Data!C:C,TEXT(DATEVALUE("1-"&amp;RIGHT(A6,LEN(A6)-FIND(" ",A6))&amp;"-"&amp;B6),"mmmm")
)</f>
        <v>156.80000000000001</v>
      </c>
      <c r="E6">
        <v>65.03</v>
      </c>
      <c r="F6" s="14">
        <f t="shared" ref="F6:F32" si="9">(E6-E5)/E5</f>
        <v>5.6196199447783028E-2</v>
      </c>
      <c r="G6" s="14">
        <f t="shared" ref="G6:G32" si="10">(D6-D5)/D5</f>
        <v>1.2771392081737999E-3</v>
      </c>
      <c r="H6">
        <f>AVERAGEIFS(
Clean_Data!H:H,
Clean_Data!A:A,"Rural+Urban",
Clean_Data!B:B,B6,
Clean_Data!C:C,TEXT(DATEVALUE("1-"&amp;RIGHT(A6,LEN(A6)-FIND(" ",A6))&amp;"-"&amp;B6),"mmmm")
)</f>
        <v>163.9</v>
      </c>
      <c r="I6">
        <f>AVERAGEIFS(
Clean_Data!V:V,
Clean_Data!A:A,"Rural+Urban",
Clean_Data!B:B,B6,
Clean_Data!C:C,TEXT(DATEVALUE("1-"&amp;RIGHT(A6,LEN(A6)-FIND(" ",A6))&amp;"-"&amp;B6),"mmmm")
)</f>
        <v>155.5</v>
      </c>
      <c r="J6">
        <f>AVERAGEIFS(
Clean_Data!Y:Y,
Clean_Data!A:A,"Rural+Urban",
Clean_Data!B:B,B6,
Clean_Data!C:C,TEXT(DATEVALUE("1-"&amp;RIGHT(A6,LEN(A6)-FIND(" ",A6))&amp;"-"&amp;B6),"mmmm")
)</f>
        <v>146.19999999999999</v>
      </c>
      <c r="K6">
        <f>AVERAGEIFS(
Clean_Data!X:X,
Clean_Data!A:A,"Rural+Urban",
Clean_Data!B:B,B6,
Clean_Data!C:C,TEXT(DATEVALUE("1-"&amp;RIGHT(A6,LEN(A6)-FIND(" ",A6))&amp;"-"&amp;B6),"mmmm")
)</f>
        <v>161.69999999999999</v>
      </c>
      <c r="L6">
        <f>AVERAGEIFS(
Clean_Data!P:P,
Clean_Data!A:A,"Rural+Urban",
Clean_Data!B:B,B6,
Clean_Data!C:C,TEXT(DATEVALUE("1-"&amp;RIGHT(A6,LEN(A6)-FIND(" ",A6))&amp;"-"&amp;B6),"mmmm")
)</f>
        <v>156.69999999999999</v>
      </c>
      <c r="M6">
        <f>AVERAGEIFS(
Clean_Data!D:D,
Clean_Data!A:A,"Rural+Urban",
Clean_Data!B:B,B6,
Clean_Data!C:C,TEXT(DATEVALUE("1-"&amp;RIGHT(A6,LEN(A6)-FIND(" ",A6))&amp;"-"&amp;B6),"mmmm")
)</f>
        <v>144.1</v>
      </c>
      <c r="N6" s="14">
        <f t="shared" si="3"/>
        <v>3.7827943868212255E-2</v>
      </c>
      <c r="O6" s="14">
        <f t="shared" si="4"/>
        <v>6.4308681672022071E-4</v>
      </c>
      <c r="P6" s="14">
        <f t="shared" si="5"/>
        <v>2.7359781121751416E-3</v>
      </c>
      <c r="Q6" s="14">
        <f t="shared" si="6"/>
        <v>3.7105751391467087E-3</v>
      </c>
      <c r="R6" s="14">
        <f t="shared" si="7"/>
        <v>8.2961072112317253E-3</v>
      </c>
      <c r="S6" s="14">
        <f t="shared" si="8"/>
        <v>1.3879250520473078E-3</v>
      </c>
    </row>
    <row r="7" spans="1:19" x14ac:dyDescent="0.35">
      <c r="A7" t="s">
        <v>144</v>
      </c>
      <c r="B7">
        <v>2021</v>
      </c>
      <c r="C7" t="s">
        <v>37</v>
      </c>
      <c r="D7">
        <f>AVERAGEIFS(
Clean_Data!AD:AD,
Clean_Data!A:A,"Rural+Urban",
Clean_Data!B:B,B7,
Clean_Data!C:C,TEXT(DATEVALUE("1-"&amp;RIGHT(A7,LEN(A7)-FIND(" ",A7))&amp;"-"&amp;B7),"mmmm")
)</f>
        <v>157.80000000000001</v>
      </c>
      <c r="E7">
        <v>65.489999999999995</v>
      </c>
      <c r="F7" s="14">
        <f t="shared" si="9"/>
        <v>7.0736583115484199E-3</v>
      </c>
      <c r="G7" s="14">
        <f t="shared" si="10"/>
        <v>6.3775510204081625E-3</v>
      </c>
      <c r="H7">
        <f>AVERAGEIFS(
Clean_Data!H:H,
Clean_Data!A:A,"Rural+Urban",
Clean_Data!B:B,B7,
Clean_Data!C:C,TEXT(DATEVALUE("1-"&amp;RIGHT(A7,LEN(A7)-FIND(" ",A7))&amp;"-"&amp;B7),"mmmm")
)</f>
        <v>170.1</v>
      </c>
      <c r="I7">
        <f>AVERAGEIFS(
Clean_Data!V:V,
Clean_Data!A:A,"Rural+Urban",
Clean_Data!B:B,B7,
Clean_Data!C:C,TEXT(DATEVALUE("1-"&amp;RIGHT(A7,LEN(A7)-FIND(" ",A7))&amp;"-"&amp;B7),"mmmm")
)</f>
        <v>155.6</v>
      </c>
      <c r="J7">
        <f>AVERAGEIFS(
Clean_Data!Y:Y,
Clean_Data!A:A,"Rural+Urban",
Clean_Data!B:B,B7,
Clean_Data!C:C,TEXT(DATEVALUE("1-"&amp;RIGHT(A7,LEN(A7)-FIND(" ",A7))&amp;"-"&amp;B7),"mmmm")
)</f>
        <v>146.6</v>
      </c>
      <c r="K7">
        <f>AVERAGEIFS(
Clean_Data!X:X,
Clean_Data!A:A,"Rural+Urban",
Clean_Data!B:B,B7,
Clean_Data!C:C,TEXT(DATEVALUE("1-"&amp;RIGHT(A7,LEN(A7)-FIND(" ",A7))&amp;"-"&amp;B7),"mmmm")
)</f>
        <v>162.30000000000001</v>
      </c>
      <c r="L7">
        <f>AVERAGEIFS(
Clean_Data!P:P,
Clean_Data!A:A,"Rural+Urban",
Clean_Data!B:B,B7,
Clean_Data!C:C,TEXT(DATEVALUE("1-"&amp;RIGHT(A7,LEN(A7)-FIND(" ",A7))&amp;"-"&amp;B7),"mmmm")
)</f>
        <v>158</v>
      </c>
      <c r="M7">
        <f>AVERAGEIFS(
Clean_Data!D:D,
Clean_Data!A:A,"Rural+Urban",
Clean_Data!B:B,B7,
Clean_Data!C:C,TEXT(DATEVALUE("1-"&amp;RIGHT(A7,LEN(A7)-FIND(" ",A7))&amp;"-"&amp;B7),"mmmm")
)</f>
        <v>144.30000000000001</v>
      </c>
      <c r="N7" s="14">
        <f t="shared" si="3"/>
        <v>5.0558495002939415E-2</v>
      </c>
      <c r="O7" s="14">
        <f t="shared" si="4"/>
        <v>2.4421593830334265E-2</v>
      </c>
      <c r="P7" s="14">
        <f t="shared" si="5"/>
        <v>1.568894952251031E-2</v>
      </c>
      <c r="Q7" s="14">
        <f t="shared" si="6"/>
        <v>2.1565003080714726E-2</v>
      </c>
      <c r="R7" s="14">
        <f t="shared" si="7"/>
        <v>1.7088607594936637E-2</v>
      </c>
      <c r="S7" s="14">
        <f t="shared" si="8"/>
        <v>1.386001386001386E-2</v>
      </c>
    </row>
    <row r="8" spans="1:19" x14ac:dyDescent="0.35">
      <c r="A8" t="s">
        <v>145</v>
      </c>
      <c r="B8">
        <v>2021</v>
      </c>
      <c r="C8" t="s">
        <v>38</v>
      </c>
      <c r="D8">
        <f>AVERAGEIFS(
Clean_Data!AD:AD,
Clean_Data!A:A,"Rural+Urban",
Clean_Data!B:B,B8,
Clean_Data!C:C,TEXT(DATEVALUE("1-"&amp;RIGHT(A8,LEN(A8)-FIND(" ",A8))&amp;"-"&amp;B8),"mmmm")
)</f>
        <v>160.4</v>
      </c>
      <c r="E8">
        <v>68.709999999999994</v>
      </c>
      <c r="F8" s="14">
        <f t="shared" si="9"/>
        <v>4.9167811879676275E-2</v>
      </c>
      <c r="G8" s="14">
        <f t="shared" si="10"/>
        <v>1.6476552598225565E-2</v>
      </c>
      <c r="H8">
        <f>AVERAGEIFS(
Clean_Data!H:H,
Clean_Data!A:A,"Rural+Urban",
Clean_Data!B:B,B8,
Clean_Data!C:C,TEXT(DATEVALUE("1-"&amp;RIGHT(A8,LEN(A8)-FIND(" ",A8))&amp;"-"&amp;B8),"mmmm")
)</f>
        <v>178.7</v>
      </c>
      <c r="I8">
        <f>AVERAGEIFS(
Clean_Data!V:V,
Clean_Data!A:A,"Rural+Urban",
Clean_Data!B:B,B8,
Clean_Data!C:C,TEXT(DATEVALUE("1-"&amp;RIGHT(A8,LEN(A8)-FIND(" ",A8))&amp;"-"&amp;B8),"mmmm")
)</f>
        <v>159.4</v>
      </c>
      <c r="J8">
        <f>AVERAGEIFS(
Clean_Data!Y:Y,
Clean_Data!A:A,"Rural+Urban",
Clean_Data!B:B,B8,
Clean_Data!C:C,TEXT(DATEVALUE("1-"&amp;RIGHT(A8,LEN(A8)-FIND(" ",A8))&amp;"-"&amp;B8),"mmmm")
)</f>
        <v>148.9</v>
      </c>
      <c r="K8">
        <f>AVERAGEIFS(
Clean_Data!X:X,
Clean_Data!A:A,"Rural+Urban",
Clean_Data!B:B,B8,
Clean_Data!C:C,TEXT(DATEVALUE("1-"&amp;RIGHT(A8,LEN(A8)-FIND(" ",A8))&amp;"-"&amp;B8),"mmmm")
)</f>
        <v>165.8</v>
      </c>
      <c r="L8">
        <f>AVERAGEIFS(
Clean_Data!P:P,
Clean_Data!A:A,"Rural+Urban",
Clean_Data!B:B,B8,
Clean_Data!C:C,TEXT(DATEVALUE("1-"&amp;RIGHT(A8,LEN(A8)-FIND(" ",A8))&amp;"-"&amp;B8),"mmmm")
)</f>
        <v>160.69999999999999</v>
      </c>
      <c r="M8">
        <f>AVERAGEIFS(
Clean_Data!D:D,
Clean_Data!A:A,"Rural+Urban",
Clean_Data!B:B,B8,
Clean_Data!C:C,TEXT(DATEVALUE("1-"&amp;RIGHT(A8,LEN(A8)-FIND(" ",A8))&amp;"-"&amp;B8),"mmmm")
)</f>
        <v>146.30000000000001</v>
      </c>
      <c r="N8" s="14">
        <f t="shared" si="3"/>
        <v>2.7979854504756579E-2</v>
      </c>
      <c r="O8" s="14">
        <f t="shared" si="4"/>
        <v>2.5094102885822186E-3</v>
      </c>
      <c r="P8" s="14">
        <f t="shared" si="5"/>
        <v>1.2088650100738636E-2</v>
      </c>
      <c r="Q8" s="14">
        <f t="shared" si="6"/>
        <v>3.0156815440289505E-3</v>
      </c>
      <c r="R8" s="14">
        <f t="shared" si="7"/>
        <v>1.1823273179838244E-2</v>
      </c>
      <c r="S8" s="14">
        <f t="shared" si="8"/>
        <v>2.7341079972657365E-3</v>
      </c>
    </row>
    <row r="9" spans="1:19" x14ac:dyDescent="0.35">
      <c r="A9" t="s">
        <v>146</v>
      </c>
      <c r="B9">
        <v>2021</v>
      </c>
      <c r="C9" t="s">
        <v>39</v>
      </c>
      <c r="D9">
        <f>AVERAGEIFS(
Clean_Data!AD:AD,
Clean_Data!A:A,"Rural+Urban",
Clean_Data!B:B,B9,
Clean_Data!C:C,TEXT(DATEVALUE("1-"&amp;RIGHT(A9,LEN(A9)-FIND(" ",A9))&amp;"-"&amp;B9),"mmmm")
)</f>
        <v>161.30000000000001</v>
      </c>
      <c r="E9">
        <v>74.53</v>
      </c>
      <c r="F9" s="14">
        <f t="shared" si="9"/>
        <v>8.470382768156029E-2</v>
      </c>
      <c r="G9" s="14">
        <f t="shared" si="10"/>
        <v>5.6109725685785893E-3</v>
      </c>
      <c r="H9">
        <f>AVERAGEIFS(
Clean_Data!H:H,
Clean_Data!A:A,"Rural+Urban",
Clean_Data!B:B,B9,
Clean_Data!C:C,TEXT(DATEVALUE("1-"&amp;RIGHT(A9,LEN(A9)-FIND(" ",A9))&amp;"-"&amp;B9),"mmmm")
)</f>
        <v>183.7</v>
      </c>
      <c r="I9">
        <f>AVERAGEIFS(
Clean_Data!V:V,
Clean_Data!A:A,"Rural+Urban",
Clean_Data!B:B,B9,
Clean_Data!C:C,TEXT(DATEVALUE("1-"&amp;RIGHT(A9,LEN(A9)-FIND(" ",A9))&amp;"-"&amp;B9),"mmmm")
)</f>
        <v>159.80000000000001</v>
      </c>
      <c r="J9">
        <f>AVERAGEIFS(
Clean_Data!Y:Y,
Clean_Data!A:A,"Rural+Urban",
Clean_Data!B:B,B9,
Clean_Data!C:C,TEXT(DATEVALUE("1-"&amp;RIGHT(A9,LEN(A9)-FIND(" ",A9))&amp;"-"&amp;B9),"mmmm")
)</f>
        <v>150.69999999999999</v>
      </c>
      <c r="K9">
        <f>AVERAGEIFS(
Clean_Data!X:X,
Clean_Data!A:A,"Rural+Urban",
Clean_Data!B:B,B9,
Clean_Data!C:C,TEXT(DATEVALUE("1-"&amp;RIGHT(A9,LEN(A9)-FIND(" ",A9))&amp;"-"&amp;B9),"mmmm")
)</f>
        <v>166.3</v>
      </c>
      <c r="L9">
        <f>AVERAGEIFS(
Clean_Data!P:P,
Clean_Data!A:A,"Rural+Urban",
Clean_Data!B:B,B9,
Clean_Data!C:C,TEXT(DATEVALUE("1-"&amp;RIGHT(A9,LEN(A9)-FIND(" ",A9))&amp;"-"&amp;B9),"mmmm")
)</f>
        <v>162.6</v>
      </c>
      <c r="M9">
        <f>AVERAGEIFS(
Clean_Data!D:D,
Clean_Data!A:A,"Rural+Urban",
Clean_Data!B:B,B9,
Clean_Data!C:C,TEXT(DATEVALUE("1-"&amp;RIGHT(A9,LEN(A9)-FIND(" ",A9))&amp;"-"&amp;B9),"mmmm")
)</f>
        <v>146.69999999999999</v>
      </c>
      <c r="N9" s="14">
        <f t="shared" si="3"/>
        <v>-8.7098530212302364E-3</v>
      </c>
      <c r="O9" s="14">
        <f t="shared" si="4"/>
        <v>5.6320400500624356E-3</v>
      </c>
      <c r="P9" s="14">
        <f t="shared" si="5"/>
        <v>1.5925680159256841E-2</v>
      </c>
      <c r="Q9" s="14">
        <f t="shared" si="6"/>
        <v>4.2092603728201361E-3</v>
      </c>
      <c r="R9" s="14">
        <f t="shared" si="7"/>
        <v>8.6100861008610446E-3</v>
      </c>
      <c r="S9" s="14">
        <f t="shared" si="8"/>
        <v>-2.0449897750510087E-3</v>
      </c>
    </row>
    <row r="10" spans="1:19" x14ac:dyDescent="0.35">
      <c r="A10" t="s">
        <v>147</v>
      </c>
      <c r="B10">
        <v>2021</v>
      </c>
      <c r="C10" t="s">
        <v>40</v>
      </c>
      <c r="D10">
        <f>AVERAGEIFS(
Clean_Data!AD:AD,
Clean_Data!A:A,"Rural+Urban",
Clean_Data!B:B,B10,
Clean_Data!C:C,TEXT(DATEVALUE("1-"&amp;RIGHT(A10,LEN(A10)-FIND(" ",A10))&amp;"-"&amp;B10),"mmmm")
)</f>
        <v>162.5</v>
      </c>
      <c r="E10">
        <v>75.13</v>
      </c>
      <c r="F10" s="14">
        <f t="shared" si="9"/>
        <v>8.0504494834294157E-3</v>
      </c>
      <c r="G10" s="14">
        <f t="shared" si="10"/>
        <v>7.439553626782322E-3</v>
      </c>
      <c r="H10">
        <f>AVERAGEIFS(
Clean_Data!H:H,
Clean_Data!A:A,"Rural+Urban",
Clean_Data!B:B,B10,
Clean_Data!C:C,TEXT(DATEVALUE("1-"&amp;RIGHT(A10,LEN(A10)-FIND(" ",A10))&amp;"-"&amp;B10),"mmmm")
)</f>
        <v>182.1</v>
      </c>
      <c r="I10">
        <f>AVERAGEIFS(
Clean_Data!V:V,
Clean_Data!A:A,"Rural+Urban",
Clean_Data!B:B,B10,
Clean_Data!C:C,TEXT(DATEVALUE("1-"&amp;RIGHT(A10,LEN(A10)-FIND(" ",A10))&amp;"-"&amp;B10),"mmmm")
)</f>
        <v>160.69999999999999</v>
      </c>
      <c r="J10">
        <f>AVERAGEIFS(
Clean_Data!Y:Y,
Clean_Data!A:A,"Rural+Urban",
Clean_Data!B:B,B10,
Clean_Data!C:C,TEXT(DATEVALUE("1-"&amp;RIGHT(A10,LEN(A10)-FIND(" ",A10))&amp;"-"&amp;B10),"mmmm")
)</f>
        <v>153.1</v>
      </c>
      <c r="K10">
        <f>AVERAGEIFS(
Clean_Data!X:X,
Clean_Data!A:A,"Rural+Urban",
Clean_Data!B:B,B10,
Clean_Data!C:C,TEXT(DATEVALUE("1-"&amp;RIGHT(A10,LEN(A10)-FIND(" ",A10))&amp;"-"&amp;B10),"mmmm")
)</f>
        <v>167</v>
      </c>
      <c r="L10">
        <f>AVERAGEIFS(
Clean_Data!P:P,
Clean_Data!A:A,"Rural+Urban",
Clean_Data!B:B,B10,
Clean_Data!C:C,TEXT(DATEVALUE("1-"&amp;RIGHT(A10,LEN(A10)-FIND(" ",A10))&amp;"-"&amp;B10),"mmmm")
)</f>
        <v>164</v>
      </c>
      <c r="M10">
        <f>AVERAGEIFS(
Clean_Data!D:D,
Clean_Data!A:A,"Rural+Urban",
Clean_Data!B:B,B10,
Clean_Data!C:C,TEXT(DATEVALUE("1-"&amp;RIGHT(A10,LEN(A10)-FIND(" ",A10))&amp;"-"&amp;B10),"mmmm")
)</f>
        <v>146.4</v>
      </c>
      <c r="N10" s="14">
        <f t="shared" si="3"/>
        <v>3.2399780340472299E-2</v>
      </c>
      <c r="O10" s="14">
        <f t="shared" si="4"/>
        <v>1.1823273179838244E-2</v>
      </c>
      <c r="P10" s="14">
        <f t="shared" si="5"/>
        <v>5.8785107772697954E-3</v>
      </c>
      <c r="Q10" s="14">
        <f t="shared" si="6"/>
        <v>8.3832335329341659E-3</v>
      </c>
      <c r="R10" s="14">
        <f t="shared" si="7"/>
        <v>0</v>
      </c>
      <c r="S10" s="14">
        <f t="shared" si="8"/>
        <v>1.3661202185791573E-3</v>
      </c>
    </row>
    <row r="11" spans="1:19" x14ac:dyDescent="0.35">
      <c r="A11" t="s">
        <v>148</v>
      </c>
      <c r="B11">
        <v>2021</v>
      </c>
      <c r="C11" t="s">
        <v>41</v>
      </c>
      <c r="D11">
        <f>AVERAGEIFS(
Clean_Data!AD:AD,
Clean_Data!A:A,"Rural+Urban",
Clean_Data!B:B,B11,
Clean_Data!C:C,TEXT(DATEVALUE("1-"&amp;RIGHT(A11,LEN(A11)-FIND(" ",A11))&amp;"-"&amp;B11),"mmmm")
)</f>
        <v>163.19999999999999</v>
      </c>
      <c r="E11">
        <v>70.78</v>
      </c>
      <c r="F11" s="14">
        <f t="shared" si="9"/>
        <v>-5.7899640622920197E-2</v>
      </c>
      <c r="G11" s="14">
        <f t="shared" si="10"/>
        <v>4.3076923076922381E-3</v>
      </c>
      <c r="H11">
        <f>AVERAGEIFS(
Clean_Data!H:H,
Clean_Data!A:A,"Rural+Urban",
Clean_Data!B:B,B11,
Clean_Data!C:C,TEXT(DATEVALUE("1-"&amp;RIGHT(A11,LEN(A11)-FIND(" ",A11))&amp;"-"&amp;B11),"mmmm")
)</f>
        <v>188</v>
      </c>
      <c r="I11">
        <f>AVERAGEIFS(
Clean_Data!V:V,
Clean_Data!A:A,"Rural+Urban",
Clean_Data!B:B,B11,
Clean_Data!C:C,TEXT(DATEVALUE("1-"&amp;RIGHT(A11,LEN(A11)-FIND(" ",A11))&amp;"-"&amp;B11),"mmmm")
)</f>
        <v>162.6</v>
      </c>
      <c r="J11">
        <f>AVERAGEIFS(
Clean_Data!Y:Y,
Clean_Data!A:A,"Rural+Urban",
Clean_Data!B:B,B11,
Clean_Data!C:C,TEXT(DATEVALUE("1-"&amp;RIGHT(A11,LEN(A11)-FIND(" ",A11))&amp;"-"&amp;B11),"mmmm")
)</f>
        <v>154</v>
      </c>
      <c r="K11">
        <f>AVERAGEIFS(
Clean_Data!X:X,
Clean_Data!A:A,"Rural+Urban",
Clean_Data!B:B,B11,
Clean_Data!C:C,TEXT(DATEVALUE("1-"&amp;RIGHT(A11,LEN(A11)-FIND(" ",A11))&amp;"-"&amp;B11),"mmmm")
)</f>
        <v>168.4</v>
      </c>
      <c r="L11">
        <f>AVERAGEIFS(
Clean_Data!P:P,
Clean_Data!A:A,"Rural+Urban",
Clean_Data!B:B,B11,
Clean_Data!C:C,TEXT(DATEVALUE("1-"&amp;RIGHT(A11,LEN(A11)-FIND(" ",A11))&amp;"-"&amp;B11),"mmmm")
)</f>
        <v>164</v>
      </c>
      <c r="M11">
        <f>AVERAGEIFS(
Clean_Data!D:D,
Clean_Data!A:A,"Rural+Urban",
Clean_Data!B:B,B11,
Clean_Data!C:C,TEXT(DATEVALUE("1-"&amp;RIGHT(A11,LEN(A11)-FIND(" ",A11))&amp;"-"&amp;B11),"mmmm")
)</f>
        <v>146.6</v>
      </c>
      <c r="N11" s="14">
        <f t="shared" si="3"/>
        <v>0</v>
      </c>
      <c r="O11" s="14">
        <f t="shared" si="4"/>
        <v>0</v>
      </c>
      <c r="P11" s="14">
        <f t="shared" si="5"/>
        <v>0</v>
      </c>
      <c r="Q11" s="14">
        <f t="shared" si="6"/>
        <v>0</v>
      </c>
      <c r="R11" s="14">
        <f t="shared" si="7"/>
        <v>0</v>
      </c>
      <c r="S11" s="14">
        <f t="shared" si="8"/>
        <v>0</v>
      </c>
    </row>
    <row r="12" spans="1:19" x14ac:dyDescent="0.35">
      <c r="A12" t="s">
        <v>149</v>
      </c>
      <c r="B12">
        <v>2021</v>
      </c>
      <c r="C12" t="s">
        <v>42</v>
      </c>
      <c r="D12">
        <f>AVERAGEIFS(
Clean_Data!AD:AD,
Clean_Data!A:A,"Rural+Urban",
Clean_Data!B:B,B12,
Clean_Data!C:C,TEXT(DATEVALUE("1-"&amp;RIGHT(A12,LEN(A12)-FIND(" ",A12))&amp;"-"&amp;B12),"mmmm")
)</f>
        <v>163.19999999999999</v>
      </c>
      <c r="E12">
        <v>78.27</v>
      </c>
      <c r="F12" s="14">
        <f t="shared" si="9"/>
        <v>0.10582085334840342</v>
      </c>
      <c r="G12" s="14">
        <f t="shared" si="10"/>
        <v>0</v>
      </c>
      <c r="H12">
        <f>AVERAGEIFS(
Clean_Data!H:H,
Clean_Data!A:A,"Rural+Urban",
Clean_Data!B:B,B12,
Clean_Data!C:C,TEXT(DATEVALUE("1-"&amp;RIGHT(A12,LEN(A12)-FIND(" ",A12))&amp;"-"&amp;B12),"mmmm")
)</f>
        <v>188</v>
      </c>
      <c r="I12">
        <f>AVERAGEIFS(
Clean_Data!V:V,
Clean_Data!A:A,"Rural+Urban",
Clean_Data!B:B,B12,
Clean_Data!C:C,TEXT(DATEVALUE("1-"&amp;RIGHT(A12,LEN(A12)-FIND(" ",A12))&amp;"-"&amp;B12),"mmmm")
)</f>
        <v>162.6</v>
      </c>
      <c r="J12">
        <f>AVERAGEIFS(
Clean_Data!Y:Y,
Clean_Data!A:A,"Rural+Urban",
Clean_Data!B:B,B12,
Clean_Data!C:C,TEXT(DATEVALUE("1-"&amp;RIGHT(A12,LEN(A12)-FIND(" ",A12))&amp;"-"&amp;B12),"mmmm")
)</f>
        <v>154</v>
      </c>
      <c r="K12">
        <f>AVERAGEIFS(
Clean_Data!X:X,
Clean_Data!A:A,"Rural+Urban",
Clean_Data!B:B,B12,
Clean_Data!C:C,TEXT(DATEVALUE("1-"&amp;RIGHT(A12,LEN(A12)-FIND(" ",A12))&amp;"-"&amp;B12),"mmmm")
)</f>
        <v>168.4</v>
      </c>
      <c r="L12">
        <f>AVERAGEIFS(
Clean_Data!P:P,
Clean_Data!A:A,"Rural+Urban",
Clean_Data!B:B,B12,
Clean_Data!C:C,TEXT(DATEVALUE("1-"&amp;RIGHT(A12,LEN(A12)-FIND(" ",A12))&amp;"-"&amp;B12),"mmmm")
)</f>
        <v>164</v>
      </c>
      <c r="M12">
        <f>AVERAGEIFS(
Clean_Data!D:D,
Clean_Data!A:A,"Rural+Urban",
Clean_Data!B:B,B12,
Clean_Data!C:C,TEXT(DATEVALUE("1-"&amp;RIGHT(A12,LEN(A12)-FIND(" ",A12))&amp;"-"&amp;B12),"mmmm")
)</f>
        <v>146.6</v>
      </c>
      <c r="N12" s="14">
        <f t="shared" si="3"/>
        <v>1.3829787234042523E-2</v>
      </c>
      <c r="O12" s="14">
        <f t="shared" si="4"/>
        <v>9.8400984009839754E-3</v>
      </c>
      <c r="P12" s="14">
        <f t="shared" si="5"/>
        <v>1.1038961038960965E-2</v>
      </c>
      <c r="Q12" s="14">
        <f t="shared" si="6"/>
        <v>4.1567695961994573E-3</v>
      </c>
      <c r="R12" s="14">
        <f t="shared" si="7"/>
        <v>2.2560975609756027E-2</v>
      </c>
      <c r="S12" s="14">
        <f t="shared" si="8"/>
        <v>5.4570259208732022E-3</v>
      </c>
    </row>
    <row r="13" spans="1:19" x14ac:dyDescent="0.35">
      <c r="A13" t="s">
        <v>150</v>
      </c>
      <c r="B13">
        <v>2021</v>
      </c>
      <c r="C13" t="s">
        <v>43</v>
      </c>
      <c r="D13">
        <f>AVERAGEIFS(
Clean_Data!AD:AD,
Clean_Data!A:A,"Rural+Urban",
Clean_Data!B:B,B13,
Clean_Data!C:C,TEXT(DATEVALUE("1-"&amp;RIGHT(A13,LEN(A13)-FIND(" ",A13))&amp;"-"&amp;B13),"mmmm")
)</f>
        <v>165.5</v>
      </c>
      <c r="E13">
        <v>83.54</v>
      </c>
      <c r="F13" s="14">
        <f t="shared" si="9"/>
        <v>6.7331033601635504E-2</v>
      </c>
      <c r="G13" s="14">
        <f t="shared" si="10"/>
        <v>1.4093137254902032E-2</v>
      </c>
      <c r="H13">
        <f>AVERAGEIFS(
Clean_Data!H:H,
Clean_Data!A:A,"Rural+Urban",
Clean_Data!B:B,B13,
Clean_Data!C:C,TEXT(DATEVALUE("1-"&amp;RIGHT(A13,LEN(A13)-FIND(" ",A13))&amp;"-"&amp;B13),"mmmm")
)</f>
        <v>190.6</v>
      </c>
      <c r="I13">
        <f>AVERAGEIFS(
Clean_Data!V:V,
Clean_Data!A:A,"Rural+Urban",
Clean_Data!B:B,B13,
Clean_Data!C:C,TEXT(DATEVALUE("1-"&amp;RIGHT(A13,LEN(A13)-FIND(" ",A13))&amp;"-"&amp;B13),"mmmm")
)</f>
        <v>164.2</v>
      </c>
      <c r="J13">
        <f>AVERAGEIFS(
Clean_Data!Y:Y,
Clean_Data!A:A,"Rural+Urban",
Clean_Data!B:B,B13,
Clean_Data!C:C,TEXT(DATEVALUE("1-"&amp;RIGHT(A13,LEN(A13)-FIND(" ",A13))&amp;"-"&amp;B13),"mmmm")
)</f>
        <v>155.69999999999999</v>
      </c>
      <c r="K13">
        <f>AVERAGEIFS(
Clean_Data!X:X,
Clean_Data!A:A,"Rural+Urban",
Clean_Data!B:B,B13,
Clean_Data!C:C,TEXT(DATEVALUE("1-"&amp;RIGHT(A13,LEN(A13)-FIND(" ",A13))&amp;"-"&amp;B13),"mmmm")
)</f>
        <v>169.1</v>
      </c>
      <c r="L13">
        <f>AVERAGEIFS(
Clean_Data!P:P,
Clean_Data!A:A,"Rural+Urban",
Clean_Data!B:B,B13,
Clean_Data!C:C,TEXT(DATEVALUE("1-"&amp;RIGHT(A13,LEN(A13)-FIND(" ",A13))&amp;"-"&amp;B13),"mmmm")
)</f>
        <v>167.7</v>
      </c>
      <c r="M13">
        <f>AVERAGEIFS(
Clean_Data!D:D,
Clean_Data!A:A,"Rural+Urban",
Clean_Data!B:B,B13,
Clean_Data!C:C,TEXT(DATEVALUE("1-"&amp;RIGHT(A13,LEN(A13)-FIND(" ",A13))&amp;"-"&amp;B13),"mmmm")
)</f>
        <v>147.4</v>
      </c>
      <c r="N13" s="14">
        <f t="shared" si="3"/>
        <v>-2.6232948583420779E-3</v>
      </c>
      <c r="O13" s="14">
        <f t="shared" si="4"/>
        <v>-1.8270401948841837E-3</v>
      </c>
      <c r="P13" s="14">
        <f t="shared" si="5"/>
        <v>-5.7803468208091026E-3</v>
      </c>
      <c r="Q13" s="14">
        <f t="shared" si="6"/>
        <v>4.730928444707341E-3</v>
      </c>
      <c r="R13" s="14">
        <f t="shared" si="7"/>
        <v>1.1926058437686345E-2</v>
      </c>
      <c r="S13" s="14">
        <f t="shared" si="8"/>
        <v>5.4274084124829236E-3</v>
      </c>
    </row>
    <row r="14" spans="1:19" x14ac:dyDescent="0.35">
      <c r="A14" t="s">
        <v>151</v>
      </c>
      <c r="B14">
        <v>2021</v>
      </c>
      <c r="C14" t="s">
        <v>45</v>
      </c>
      <c r="D14">
        <f>AVERAGEIFS(
Clean_Data!AD:AD,
Clean_Data!A:A,"Rural+Urban",
Clean_Data!B:B,B14,
Clean_Data!C:C,TEXT(DATEVALUE("1-"&amp;RIGHT(A14,LEN(A14)-FIND(" ",A14))&amp;"-"&amp;B14),"mmmm")
)</f>
        <v>166.7</v>
      </c>
      <c r="E14">
        <v>79.959999999999994</v>
      </c>
      <c r="F14" s="14">
        <f t="shared" si="9"/>
        <v>-4.2853722767536656E-2</v>
      </c>
      <c r="G14" s="14">
        <f t="shared" si="10"/>
        <v>7.2507552870089949E-3</v>
      </c>
      <c r="H14">
        <f>AVERAGEIFS(
Clean_Data!H:H,
Clean_Data!A:A,"Rural+Urban",
Clean_Data!B:B,B14,
Clean_Data!C:C,TEXT(DATEVALUE("1-"&amp;RIGHT(A14,LEN(A14)-FIND(" ",A14))&amp;"-"&amp;B14),"mmmm")
)</f>
        <v>190.1</v>
      </c>
      <c r="I14">
        <f>AVERAGEIFS(
Clean_Data!V:V,
Clean_Data!A:A,"Rural+Urban",
Clean_Data!B:B,B14,
Clean_Data!C:C,TEXT(DATEVALUE("1-"&amp;RIGHT(A14,LEN(A14)-FIND(" ",A14))&amp;"-"&amp;B14),"mmmm")
)</f>
        <v>163.9</v>
      </c>
      <c r="J14">
        <f>AVERAGEIFS(
Clean_Data!Y:Y,
Clean_Data!A:A,"Rural+Urban",
Clean_Data!B:B,B14,
Clean_Data!C:C,TEXT(DATEVALUE("1-"&amp;RIGHT(A14,LEN(A14)-FIND(" ",A14))&amp;"-"&amp;B14),"mmmm")
)</f>
        <v>154.80000000000001</v>
      </c>
      <c r="K14">
        <f>AVERAGEIFS(
Clean_Data!X:X,
Clean_Data!A:A,"Rural+Urban",
Clean_Data!B:B,B14,
Clean_Data!C:C,TEXT(DATEVALUE("1-"&amp;RIGHT(A14,LEN(A14)-FIND(" ",A14))&amp;"-"&amp;B14),"mmmm")
)</f>
        <v>169.9</v>
      </c>
      <c r="L14">
        <f>AVERAGEIFS(
Clean_Data!P:P,
Clean_Data!A:A,"Rural+Urban",
Clean_Data!B:B,B14,
Clean_Data!C:C,TEXT(DATEVALUE("1-"&amp;RIGHT(A14,LEN(A14)-FIND(" ",A14))&amp;"-"&amp;B14),"mmmm")
)</f>
        <v>169.7</v>
      </c>
      <c r="M14">
        <f>AVERAGEIFS(
Clean_Data!D:D,
Clean_Data!A:A,"Rural+Urban",
Clean_Data!B:B,B14,
Clean_Data!C:C,TEXT(DATEVALUE("1-"&amp;RIGHT(A14,LEN(A14)-FIND(" ",A14))&amp;"-"&amp;B14),"mmmm")
)</f>
        <v>148.19999999999999</v>
      </c>
      <c r="N14" s="14">
        <f t="shared" si="3"/>
        <v>-1.3150973172014729E-2</v>
      </c>
      <c r="O14" s="14">
        <f t="shared" si="4"/>
        <v>1.2202562538132314E-3</v>
      </c>
      <c r="P14" s="14">
        <f t="shared" si="5"/>
        <v>5.8139534883719455E-3</v>
      </c>
      <c r="Q14" s="14">
        <f t="shared" si="6"/>
        <v>4.1200706297821578E-3</v>
      </c>
      <c r="R14" s="14">
        <f t="shared" si="7"/>
        <v>-8.8391278727165592E-3</v>
      </c>
      <c r="S14" s="14">
        <f t="shared" si="8"/>
        <v>3.3738191632928477E-3</v>
      </c>
    </row>
    <row r="15" spans="1:19" x14ac:dyDescent="0.35">
      <c r="A15" t="s">
        <v>152</v>
      </c>
      <c r="B15">
        <v>2021</v>
      </c>
      <c r="C15" t="s">
        <v>46</v>
      </c>
      <c r="D15">
        <f>AVERAGEIFS(
Clean_Data!AD:AD,
Clean_Data!A:A,"Rural+Urban",
Clean_Data!B:B,B15,
Clean_Data!C:C,TEXT(DATEVALUE("1-"&amp;RIGHT(A15,LEN(A15)-FIND(" ",A15))&amp;"-"&amp;B15),"mmmm")
)</f>
        <v>166.2</v>
      </c>
      <c r="E15">
        <v>73.760000000000005</v>
      </c>
      <c r="F15" s="14">
        <f t="shared" si="9"/>
        <v>-7.7538769384692216E-2</v>
      </c>
      <c r="G15" s="14">
        <f t="shared" si="10"/>
        <v>-2.999400119976005E-3</v>
      </c>
      <c r="H15">
        <f>AVERAGEIFS(
Clean_Data!H:H,
Clean_Data!A:A,"Rural+Urban",
Clean_Data!B:B,B15,
Clean_Data!C:C,TEXT(DATEVALUE("1-"&amp;RIGHT(A15,LEN(A15)-FIND(" ",A15))&amp;"-"&amp;B15),"mmmm")
)</f>
        <v>187.6</v>
      </c>
      <c r="I15">
        <f>AVERAGEIFS(
Clean_Data!V:V,
Clean_Data!A:A,"Rural+Urban",
Clean_Data!B:B,B15,
Clean_Data!C:C,TEXT(DATEVALUE("1-"&amp;RIGHT(A15,LEN(A15)-FIND(" ",A15))&amp;"-"&amp;B15),"mmmm")
)</f>
        <v>164.1</v>
      </c>
      <c r="J15">
        <f>AVERAGEIFS(
Clean_Data!Y:Y,
Clean_Data!A:A,"Rural+Urban",
Clean_Data!B:B,B15,
Clean_Data!C:C,TEXT(DATEVALUE("1-"&amp;RIGHT(A15,LEN(A15)-FIND(" ",A15))&amp;"-"&amp;B15),"mmmm")
)</f>
        <v>155.69999999999999</v>
      </c>
      <c r="K15">
        <f>AVERAGEIFS(
Clean_Data!X:X,
Clean_Data!A:A,"Rural+Urban",
Clean_Data!B:B,B15,
Clean_Data!C:C,TEXT(DATEVALUE("1-"&amp;RIGHT(A15,LEN(A15)-FIND(" ",A15))&amp;"-"&amp;B15),"mmmm")
)</f>
        <v>170.6</v>
      </c>
      <c r="L15">
        <f>AVERAGEIFS(
Clean_Data!P:P,
Clean_Data!A:A,"Rural+Urban",
Clean_Data!B:B,B15,
Clean_Data!C:C,TEXT(DATEVALUE("1-"&amp;RIGHT(A15,LEN(A15)-FIND(" ",A15))&amp;"-"&amp;B15),"mmmm")
)</f>
        <v>168.2</v>
      </c>
      <c r="M15">
        <f>AVERAGEIFS(
Clean_Data!D:D,
Clean_Data!A:A,"Rural+Urban",
Clean_Data!B:B,B15,
Clean_Data!C:C,TEXT(DATEVALUE("1-"&amp;RIGHT(A15,LEN(A15)-FIND(" ",A15))&amp;"-"&amp;B15),"mmmm")
)</f>
        <v>148.69999999999999</v>
      </c>
      <c r="N15" s="14">
        <f t="shared" si="3"/>
        <v>-1.5458422174840116E-2</v>
      </c>
      <c r="O15" s="14">
        <f t="shared" si="4"/>
        <v>6.0938452163311586E-4</v>
      </c>
      <c r="P15" s="14">
        <f t="shared" si="5"/>
        <v>5.1380860629416276E-3</v>
      </c>
      <c r="Q15" s="14">
        <f t="shared" si="6"/>
        <v>4.6893317702228097E-3</v>
      </c>
      <c r="R15" s="14">
        <f t="shared" si="7"/>
        <v>-1.070154577883462E-2</v>
      </c>
      <c r="S15" s="14">
        <f t="shared" si="8"/>
        <v>5.3799596503026998E-3</v>
      </c>
    </row>
    <row r="16" spans="1:19" x14ac:dyDescent="0.35">
      <c r="A16" t="s">
        <v>173</v>
      </c>
      <c r="B16">
        <v>2022</v>
      </c>
      <c r="C16" t="s">
        <v>31</v>
      </c>
      <c r="D16">
        <f>AVERAGEIFS(
Clean_Data!AD:AD,
Clean_Data!A:A,"Rural+Urban",
Clean_Data!B:B,B16,
Clean_Data!C:C,TEXT(DATEVALUE("1-"&amp;RIGHT(A16,LEN(A16)-FIND(" ",A16))&amp;"-"&amp;B16),"mmmm")
)</f>
        <v>165.7</v>
      </c>
      <c r="E16">
        <v>83.31</v>
      </c>
      <c r="F16" s="14">
        <f t="shared" si="9"/>
        <v>0.12947396963123639</v>
      </c>
      <c r="G16" s="14">
        <f t="shared" si="10"/>
        <v>-3.0084235860409147E-3</v>
      </c>
      <c r="H16">
        <f>AVERAGEIFS(
Clean_Data!H:H,
Clean_Data!A:A,"Rural+Urban",
Clean_Data!B:B,B16,
Clean_Data!C:C,TEXT(DATEVALUE("1-"&amp;RIGHT(A16,LEN(A16)-FIND(" ",A16))&amp;"-"&amp;B16),"mmmm")
)</f>
        <v>184.7</v>
      </c>
      <c r="I16">
        <f>AVERAGEIFS(
Clean_Data!V:V,
Clean_Data!A:A,"Rural+Urban",
Clean_Data!B:B,B16,
Clean_Data!C:C,TEXT(DATEVALUE("1-"&amp;RIGHT(A16,LEN(A16)-FIND(" ",A16))&amp;"-"&amp;B16),"mmmm")
)</f>
        <v>164.2</v>
      </c>
      <c r="J16">
        <f>AVERAGEIFS(
Clean_Data!Y:Y,
Clean_Data!A:A,"Rural+Urban",
Clean_Data!B:B,B16,
Clean_Data!C:C,TEXT(DATEVALUE("1-"&amp;RIGHT(A16,LEN(A16)-FIND(" ",A16))&amp;"-"&amp;B16),"mmmm")
)</f>
        <v>156.5</v>
      </c>
      <c r="K16">
        <f>AVERAGEIFS(
Clean_Data!X:X,
Clean_Data!A:A,"Rural+Urban",
Clean_Data!B:B,B16,
Clean_Data!C:C,TEXT(DATEVALUE("1-"&amp;RIGHT(A16,LEN(A16)-FIND(" ",A16))&amp;"-"&amp;B16),"mmmm")
)</f>
        <v>171.4</v>
      </c>
      <c r="L16">
        <f>AVERAGEIFS(
Clean_Data!P:P,
Clean_Data!A:A,"Rural+Urban",
Clean_Data!B:B,B16,
Clean_Data!C:C,TEXT(DATEVALUE("1-"&amp;RIGHT(A16,LEN(A16)-FIND(" ",A16))&amp;"-"&amp;B16),"mmmm")
)</f>
        <v>166.4</v>
      </c>
      <c r="M16">
        <f>AVERAGEIFS(
Clean_Data!D:D,
Clean_Data!A:A,"Rural+Urban",
Clean_Data!B:B,B16,
Clean_Data!C:C,TEXT(DATEVALUE("1-"&amp;RIGHT(A16,LEN(A16)-FIND(" ",A16))&amp;"-"&amp;B16),"mmmm")
)</f>
        <v>149.5</v>
      </c>
      <c r="N16" s="14">
        <f t="shared" si="3"/>
        <v>1.0828370330266219E-3</v>
      </c>
      <c r="O16" s="14">
        <f t="shared" si="4"/>
        <v>9.1352009744214372E-3</v>
      </c>
      <c r="P16" s="14">
        <f t="shared" si="5"/>
        <v>2.5559105431310269E-3</v>
      </c>
      <c r="Q16" s="14">
        <f t="shared" si="6"/>
        <v>4.6674445740955833E-3</v>
      </c>
      <c r="R16" s="14">
        <f t="shared" si="7"/>
        <v>-1.2019230769231793E-3</v>
      </c>
      <c r="S16" s="14">
        <f t="shared" si="8"/>
        <v>3.3444816053511705E-3</v>
      </c>
    </row>
    <row r="17" spans="1:19" x14ac:dyDescent="0.35">
      <c r="A17" t="s">
        <v>174</v>
      </c>
      <c r="B17">
        <v>2022</v>
      </c>
      <c r="C17" t="s">
        <v>35</v>
      </c>
      <c r="D17">
        <f>AVERAGEIFS(
Clean_Data!AD:AD,
Clean_Data!A:A,"Rural+Urban",
Clean_Data!B:B,B17,
Clean_Data!C:C,TEXT(DATEVALUE("1-"&amp;RIGHT(A17,LEN(A17)-FIND(" ",A17))&amp;"-"&amp;B17),"mmmm")
)</f>
        <v>166.1</v>
      </c>
      <c r="E17">
        <v>95.87</v>
      </c>
      <c r="F17" s="14">
        <f t="shared" si="9"/>
        <v>0.15076221341975757</v>
      </c>
      <c r="G17" s="14">
        <f t="shared" si="10"/>
        <v>2.4140012070006378E-3</v>
      </c>
      <c r="H17">
        <f>AVERAGEIFS(
Clean_Data!H:H,
Clean_Data!A:A,"Rural+Urban",
Clean_Data!B:B,B17,
Clean_Data!C:C,TEXT(DATEVALUE("1-"&amp;RIGHT(A17,LEN(A17)-FIND(" ",A17))&amp;"-"&amp;B17),"mmmm")
)</f>
        <v>184.9</v>
      </c>
      <c r="I17">
        <f>AVERAGEIFS(
Clean_Data!V:V,
Clean_Data!A:A,"Rural+Urban",
Clean_Data!B:B,B17,
Clean_Data!C:C,TEXT(DATEVALUE("1-"&amp;RIGHT(A17,LEN(A17)-FIND(" ",A17))&amp;"-"&amp;B17),"mmmm")
)</f>
        <v>165.7</v>
      </c>
      <c r="J17">
        <f>AVERAGEIFS(
Clean_Data!Y:Y,
Clean_Data!A:A,"Rural+Urban",
Clean_Data!B:B,B17,
Clean_Data!C:C,TEXT(DATEVALUE("1-"&amp;RIGHT(A17,LEN(A17)-FIND(" ",A17))&amp;"-"&amp;B17),"mmmm")
)</f>
        <v>156.9</v>
      </c>
      <c r="K17">
        <f>AVERAGEIFS(
Clean_Data!X:X,
Clean_Data!A:A,"Rural+Urban",
Clean_Data!B:B,B17,
Clean_Data!C:C,TEXT(DATEVALUE("1-"&amp;RIGHT(A17,LEN(A17)-FIND(" ",A17))&amp;"-"&amp;B17),"mmmm")
)</f>
        <v>172.2</v>
      </c>
      <c r="L17">
        <f>AVERAGEIFS(
Clean_Data!P:P,
Clean_Data!A:A,"Rural+Urban",
Clean_Data!B:B,B17,
Clean_Data!C:C,TEXT(DATEVALUE("1-"&amp;RIGHT(A17,LEN(A17)-FIND(" ",A17))&amp;"-"&amp;B17),"mmmm")
)</f>
        <v>166.2</v>
      </c>
      <c r="M17">
        <f>AVERAGEIFS(
Clean_Data!D:D,
Clean_Data!A:A,"Rural+Urban",
Clean_Data!B:B,B17,
Clean_Data!C:C,TEXT(DATEVALUE("1-"&amp;RIGHT(A17,LEN(A17)-FIND(" ",A17))&amp;"-"&amp;B17),"mmmm")
)</f>
        <v>150</v>
      </c>
      <c r="N17" s="14">
        <f t="shared" si="3"/>
        <v>5.2460789616008592E-2</v>
      </c>
      <c r="O17" s="14">
        <f t="shared" si="4"/>
        <v>9.0525045262522634E-3</v>
      </c>
      <c r="P17" s="14">
        <f t="shared" si="5"/>
        <v>6.3734862970044612E-3</v>
      </c>
      <c r="Q17" s="14">
        <f t="shared" si="6"/>
        <v>4.6457607433217848E-3</v>
      </c>
      <c r="R17" s="14">
        <f t="shared" si="7"/>
        <v>1.3237063778580128E-2</v>
      </c>
      <c r="S17" s="14">
        <f t="shared" si="8"/>
        <v>8.6666666666667426E-3</v>
      </c>
    </row>
    <row r="18" spans="1:19" x14ac:dyDescent="0.35">
      <c r="A18" t="s">
        <v>175</v>
      </c>
      <c r="B18">
        <v>2022</v>
      </c>
      <c r="C18" t="s">
        <v>36</v>
      </c>
      <c r="D18">
        <f>AVERAGEIFS(
Clean_Data!AD:AD,
Clean_Data!A:A,"Rural+Urban",
Clean_Data!B:B,B18,
Clean_Data!C:C,TEXT(DATEVALUE("1-"&amp;RIGHT(A18,LEN(A18)-FIND(" ",A18))&amp;"-"&amp;B18),"mmmm")
)</f>
        <v>167.7</v>
      </c>
      <c r="E18">
        <v>117.25</v>
      </c>
      <c r="F18" s="14">
        <f t="shared" si="9"/>
        <v>0.22301032648378005</v>
      </c>
      <c r="G18" s="14">
        <f t="shared" si="10"/>
        <v>9.6327513546056245E-3</v>
      </c>
      <c r="H18">
        <f>AVERAGEIFS(
Clean_Data!H:H,
Clean_Data!A:A,"Rural+Urban",
Clean_Data!B:B,B18,
Clean_Data!C:C,TEXT(DATEVALUE("1-"&amp;RIGHT(A18,LEN(A18)-FIND(" ",A18))&amp;"-"&amp;B18),"mmmm")
)</f>
        <v>194.6</v>
      </c>
      <c r="I18">
        <f>AVERAGEIFS(
Clean_Data!V:V,
Clean_Data!A:A,"Rural+Urban",
Clean_Data!B:B,B18,
Clean_Data!C:C,TEXT(DATEVALUE("1-"&amp;RIGHT(A18,LEN(A18)-FIND(" ",A18))&amp;"-"&amp;B18),"mmmm")
)</f>
        <v>167.2</v>
      </c>
      <c r="J18">
        <f>AVERAGEIFS(
Clean_Data!Y:Y,
Clean_Data!A:A,"Rural+Urban",
Clean_Data!B:B,B18,
Clean_Data!C:C,TEXT(DATEVALUE("1-"&amp;RIGHT(A18,LEN(A18)-FIND(" ",A18))&amp;"-"&amp;B18),"mmmm")
)</f>
        <v>157.9</v>
      </c>
      <c r="K18">
        <f>AVERAGEIFS(
Clean_Data!X:X,
Clean_Data!A:A,"Rural+Urban",
Clean_Data!B:B,B18,
Clean_Data!C:C,TEXT(DATEVALUE("1-"&amp;RIGHT(A18,LEN(A18)-FIND(" ",A18))&amp;"-"&amp;B18),"mmmm")
)</f>
        <v>173</v>
      </c>
      <c r="L18">
        <f>AVERAGEIFS(
Clean_Data!P:P,
Clean_Data!A:A,"Rural+Urban",
Clean_Data!B:B,B18,
Clean_Data!C:C,TEXT(DATEVALUE("1-"&amp;RIGHT(A18,LEN(A18)-FIND(" ",A18))&amp;"-"&amp;B18),"mmmm")
)</f>
        <v>168.4</v>
      </c>
      <c r="M18">
        <f>AVERAGEIFS(
Clean_Data!D:D,
Clean_Data!A:A,"Rural+Urban",
Clean_Data!B:B,B18,
Clean_Data!C:C,TEXT(DATEVALUE("1-"&amp;RIGHT(A18,LEN(A18)-FIND(" ",A18))&amp;"-"&amp;B18),"mmmm")
)</f>
        <v>151.30000000000001</v>
      </c>
      <c r="N18" s="14">
        <f t="shared" si="3"/>
        <v>2.5179856115107944E-2</v>
      </c>
      <c r="O18" s="14">
        <f t="shared" si="4"/>
        <v>2.9904306220095697E-2</v>
      </c>
      <c r="P18" s="14">
        <f t="shared" si="5"/>
        <v>2.9765674477517344E-2</v>
      </c>
      <c r="Q18" s="14">
        <f t="shared" si="6"/>
        <v>5.7803468208092483E-3</v>
      </c>
      <c r="R18" s="14">
        <f t="shared" si="7"/>
        <v>1.4251781472684119E-2</v>
      </c>
      <c r="S18" s="14">
        <f t="shared" si="8"/>
        <v>1.0575016523463279E-2</v>
      </c>
    </row>
    <row r="19" spans="1:19" x14ac:dyDescent="0.35">
      <c r="A19" t="s">
        <v>176</v>
      </c>
      <c r="B19">
        <v>2022</v>
      </c>
      <c r="C19" t="s">
        <v>37</v>
      </c>
      <c r="D19">
        <f>AVERAGEIFS(
Clean_Data!AD:AD,
Clean_Data!A:A,"Rural+Urban",
Clean_Data!B:B,B19,
Clean_Data!C:C,TEXT(DATEVALUE("1-"&amp;RIGHT(A19,LEN(A19)-FIND(" ",A19))&amp;"-"&amp;B19),"mmmm")
)</f>
        <v>170.1</v>
      </c>
      <c r="E19">
        <v>108.19</v>
      </c>
      <c r="F19" s="14">
        <f t="shared" si="9"/>
        <v>-7.7270788912579977E-2</v>
      </c>
      <c r="G19" s="14">
        <f t="shared" si="10"/>
        <v>1.4311270125223648E-2</v>
      </c>
      <c r="H19">
        <f>AVERAGEIFS(
Clean_Data!H:H,
Clean_Data!A:A,"Rural+Urban",
Clean_Data!B:B,B19,
Clean_Data!C:C,TEXT(DATEVALUE("1-"&amp;RIGHT(A19,LEN(A19)-FIND(" ",A19))&amp;"-"&amp;B19),"mmmm")
)</f>
        <v>199.5</v>
      </c>
      <c r="I19">
        <f>AVERAGEIFS(
Clean_Data!V:V,
Clean_Data!A:A,"Rural+Urban",
Clean_Data!B:B,B19,
Clean_Data!C:C,TEXT(DATEVALUE("1-"&amp;RIGHT(A19,LEN(A19)-FIND(" ",A19))&amp;"-"&amp;B19),"mmmm")
)</f>
        <v>172.2</v>
      </c>
      <c r="J19">
        <f>AVERAGEIFS(
Clean_Data!Y:Y,
Clean_Data!A:A,"Rural+Urban",
Clean_Data!B:B,B19,
Clean_Data!C:C,TEXT(DATEVALUE("1-"&amp;RIGHT(A19,LEN(A19)-FIND(" ",A19))&amp;"-"&amp;B19),"mmmm")
)</f>
        <v>162.6</v>
      </c>
      <c r="K19">
        <f>AVERAGEIFS(
Clean_Data!X:X,
Clean_Data!A:A,"Rural+Urban",
Clean_Data!B:B,B19,
Clean_Data!C:C,TEXT(DATEVALUE("1-"&amp;RIGHT(A19,LEN(A19)-FIND(" ",A19))&amp;"-"&amp;B19),"mmmm")
)</f>
        <v>174</v>
      </c>
      <c r="L19">
        <f>AVERAGEIFS(
Clean_Data!P:P,
Clean_Data!A:A,"Rural+Urban",
Clean_Data!B:B,B19,
Clean_Data!C:C,TEXT(DATEVALUE("1-"&amp;RIGHT(A19,LEN(A19)-FIND(" ",A19))&amp;"-"&amp;B19),"mmmm")
)</f>
        <v>170.8</v>
      </c>
      <c r="M19">
        <f>AVERAGEIFS(
Clean_Data!D:D,
Clean_Data!A:A,"Rural+Urban",
Clean_Data!B:B,B19,
Clean_Data!C:C,TEXT(DATEVALUE("1-"&amp;RIGHT(A19,LEN(A19)-FIND(" ",A19))&amp;"-"&amp;B19),"mmmm")
)</f>
        <v>152.9</v>
      </c>
      <c r="N19" s="14">
        <f t="shared" si="3"/>
        <v>1.4536340852130354E-2</v>
      </c>
      <c r="O19" s="14">
        <f t="shared" si="4"/>
        <v>1.3937282229965191E-2</v>
      </c>
      <c r="P19" s="14">
        <f t="shared" si="5"/>
        <v>2.4600246002460377E-3</v>
      </c>
      <c r="Q19" s="14">
        <f t="shared" si="6"/>
        <v>4.5977011494253523E-3</v>
      </c>
      <c r="R19" s="14">
        <f t="shared" si="7"/>
        <v>1.4637002341920374E-2</v>
      </c>
      <c r="S19" s="14">
        <f t="shared" si="8"/>
        <v>7.848266841072522E-3</v>
      </c>
    </row>
    <row r="20" spans="1:19" x14ac:dyDescent="0.35">
      <c r="A20" t="s">
        <v>177</v>
      </c>
      <c r="B20">
        <v>2022</v>
      </c>
      <c r="C20" t="s">
        <v>38</v>
      </c>
      <c r="D20">
        <f>AVERAGEIFS(
Clean_Data!AD:AD,
Clean_Data!A:A,"Rural+Urban",
Clean_Data!B:B,B20,
Clean_Data!C:C,TEXT(DATEVALUE("1-"&amp;RIGHT(A20,LEN(A20)-FIND(" ",A20))&amp;"-"&amp;B20),"mmmm")
)</f>
        <v>171.7</v>
      </c>
      <c r="E20">
        <v>112.79</v>
      </c>
      <c r="F20" s="14">
        <f t="shared" si="9"/>
        <v>4.2517792771975309E-2</v>
      </c>
      <c r="G20" s="14">
        <f t="shared" si="10"/>
        <v>9.4062316284538178E-3</v>
      </c>
      <c r="H20">
        <f>AVERAGEIFS(
Clean_Data!H:H,
Clean_Data!A:A,"Rural+Urban",
Clean_Data!B:B,B20,
Clean_Data!C:C,TEXT(DATEVALUE("1-"&amp;RIGHT(A20,LEN(A20)-FIND(" ",A20))&amp;"-"&amp;B20),"mmmm")
)</f>
        <v>202.4</v>
      </c>
      <c r="I20">
        <f>AVERAGEIFS(
Clean_Data!V:V,
Clean_Data!A:A,"Rural+Urban",
Clean_Data!B:B,B20,
Clean_Data!C:C,TEXT(DATEVALUE("1-"&amp;RIGHT(A20,LEN(A20)-FIND(" ",A20))&amp;"-"&amp;B20),"mmmm")
)</f>
        <v>174.6</v>
      </c>
      <c r="J20">
        <f>AVERAGEIFS(
Clean_Data!Y:Y,
Clean_Data!A:A,"Rural+Urban",
Clean_Data!B:B,B20,
Clean_Data!C:C,TEXT(DATEVALUE("1-"&amp;RIGHT(A20,LEN(A20)-FIND(" ",A20))&amp;"-"&amp;B20),"mmmm")
)</f>
        <v>163</v>
      </c>
      <c r="K20">
        <f>AVERAGEIFS(
Clean_Data!X:X,
Clean_Data!A:A,"Rural+Urban",
Clean_Data!B:B,B20,
Clean_Data!C:C,TEXT(DATEVALUE("1-"&amp;RIGHT(A20,LEN(A20)-FIND(" ",A20))&amp;"-"&amp;B20),"mmmm")
)</f>
        <v>174.8</v>
      </c>
      <c r="L20">
        <f>AVERAGEIFS(
Clean_Data!P:P,
Clean_Data!A:A,"Rural+Urban",
Clean_Data!B:B,B20,
Clean_Data!C:C,TEXT(DATEVALUE("1-"&amp;RIGHT(A20,LEN(A20)-FIND(" ",A20))&amp;"-"&amp;B20),"mmmm")
)</f>
        <v>173.3</v>
      </c>
      <c r="M20">
        <f>AVERAGEIFS(
Clean_Data!D:D,
Clean_Data!A:A,"Rural+Urban",
Clean_Data!B:B,B20,
Clean_Data!C:C,TEXT(DATEVALUE("1-"&amp;RIGHT(A20,LEN(A20)-FIND(" ",A20))&amp;"-"&amp;B20),"mmmm")
)</f>
        <v>154.1</v>
      </c>
      <c r="N20" s="14">
        <f t="shared" si="3"/>
        <v>-7.411067193675889E-3</v>
      </c>
      <c r="O20" s="14">
        <f t="shared" si="4"/>
        <v>8.0183276059565042E-3</v>
      </c>
      <c r="P20" s="14">
        <f t="shared" si="5"/>
        <v>-1.1656441717791446E-2</v>
      </c>
      <c r="Q20" s="14">
        <f t="shared" si="6"/>
        <v>3.4324942791761686E-3</v>
      </c>
      <c r="R20" s="14">
        <f t="shared" si="7"/>
        <v>9.2325447201384546E-3</v>
      </c>
      <c r="S20" s="14">
        <f t="shared" si="8"/>
        <v>5.8403634003893947E-3</v>
      </c>
    </row>
    <row r="21" spans="1:19" x14ac:dyDescent="0.35">
      <c r="A21" t="s">
        <v>86</v>
      </c>
      <c r="B21">
        <v>2022</v>
      </c>
      <c r="C21" t="s">
        <v>39</v>
      </c>
      <c r="D21">
        <f>AVERAGEIFS(
Clean_Data!AD:AD,
Clean_Data!A:A,"Rural+Urban",
Clean_Data!B:B,B21,
Clean_Data!C:C,TEXT(DATEVALUE("1-"&amp;RIGHT(A21,LEN(A21)-FIND(" ",A21))&amp;"-"&amp;B21),"mmmm")
)</f>
        <v>172.6</v>
      </c>
      <c r="E21">
        <v>120.4</v>
      </c>
      <c r="F21" s="14">
        <f t="shared" si="9"/>
        <v>6.7470520436208881E-2</v>
      </c>
      <c r="G21" s="14">
        <f t="shared" si="10"/>
        <v>5.2417006406523343E-3</v>
      </c>
      <c r="H21">
        <f>AVERAGEIFS(
Clean_Data!H:H,
Clean_Data!A:A,"Rural+Urban",
Clean_Data!B:B,B21,
Clean_Data!C:C,TEXT(DATEVALUE("1-"&amp;RIGHT(A21,LEN(A21)-FIND(" ",A21))&amp;"-"&amp;B21),"mmmm")
)</f>
        <v>200.9</v>
      </c>
      <c r="I21">
        <f>AVERAGEIFS(
Clean_Data!V:V,
Clean_Data!A:A,"Rural+Urban",
Clean_Data!B:B,B21,
Clean_Data!C:C,TEXT(DATEVALUE("1-"&amp;RIGHT(A21,LEN(A21)-FIND(" ",A21))&amp;"-"&amp;B21),"mmmm")
)</f>
        <v>176</v>
      </c>
      <c r="J21">
        <f>AVERAGEIFS(
Clean_Data!Y:Y,
Clean_Data!A:A,"Rural+Urban",
Clean_Data!B:B,B21,
Clean_Data!C:C,TEXT(DATEVALUE("1-"&amp;RIGHT(A21,LEN(A21)-FIND(" ",A21))&amp;"-"&amp;B21),"mmmm")
)</f>
        <v>161.1</v>
      </c>
      <c r="K21">
        <f>AVERAGEIFS(
Clean_Data!X:X,
Clean_Data!A:A,"Rural+Urban",
Clean_Data!B:B,B21,
Clean_Data!C:C,TEXT(DATEVALUE("1-"&amp;RIGHT(A21,LEN(A21)-FIND(" ",A21))&amp;"-"&amp;B21),"mmmm")
)</f>
        <v>175.4</v>
      </c>
      <c r="L21">
        <f>AVERAGEIFS(
Clean_Data!P:P,
Clean_Data!A:A,"Rural+Urban",
Clean_Data!B:B,B21,
Clean_Data!C:C,TEXT(DATEVALUE("1-"&amp;RIGHT(A21,LEN(A21)-FIND(" ",A21))&amp;"-"&amp;B21),"mmmm")
)</f>
        <v>174.9</v>
      </c>
      <c r="M21">
        <f>AVERAGEIFS(
Clean_Data!D:D,
Clean_Data!A:A,"Rural+Urban",
Clean_Data!B:B,B21,
Clean_Data!C:C,TEXT(DATEVALUE("1-"&amp;RIGHT(A21,LEN(A21)-FIND(" ",A21))&amp;"-"&amp;B21),"mmmm")
)</f>
        <v>155</v>
      </c>
      <c r="N21" s="14">
        <f t="shared" si="3"/>
        <v>-2.5385764061722219E-2</v>
      </c>
      <c r="O21" s="14">
        <f t="shared" si="4"/>
        <v>2.0454545454545423E-2</v>
      </c>
      <c r="P21" s="14">
        <f t="shared" si="5"/>
        <v>3.1036623215394167E-3</v>
      </c>
      <c r="Q21" s="14">
        <f t="shared" si="6"/>
        <v>3.9908779931584299E-3</v>
      </c>
      <c r="R21" s="14">
        <f t="shared" si="7"/>
        <v>5.7175528873638828E-4</v>
      </c>
      <c r="S21" s="14">
        <f t="shared" si="8"/>
        <v>9.6774193548387101E-3</v>
      </c>
    </row>
    <row r="22" spans="1:19" x14ac:dyDescent="0.35">
      <c r="A22" t="s">
        <v>87</v>
      </c>
      <c r="B22">
        <v>2022</v>
      </c>
      <c r="C22" t="s">
        <v>40</v>
      </c>
      <c r="D22">
        <f>AVERAGEIFS(
Clean_Data!AD:AD,
Clean_Data!A:A,"Rural+Urban",
Clean_Data!B:B,B22,
Clean_Data!C:C,TEXT(DATEVALUE("1-"&amp;RIGHT(A22,LEN(A22)-FIND(" ",A22))&amp;"-"&amp;B22),"mmmm")
)</f>
        <v>173.4</v>
      </c>
      <c r="E22">
        <v>110.59</v>
      </c>
      <c r="F22" s="14">
        <f t="shared" si="9"/>
        <v>-8.1478405315614635E-2</v>
      </c>
      <c r="G22" s="14">
        <f t="shared" si="10"/>
        <v>4.634994206257308E-3</v>
      </c>
      <c r="H22">
        <f>AVERAGEIFS(
Clean_Data!H:H,
Clean_Data!A:A,"Rural+Urban",
Clean_Data!B:B,B22,
Clean_Data!C:C,TEXT(DATEVALUE("1-"&amp;RIGHT(A22,LEN(A22)-FIND(" ",A22))&amp;"-"&amp;B22),"mmmm")
)</f>
        <v>195.8</v>
      </c>
      <c r="I22">
        <f>AVERAGEIFS(
Clean_Data!V:V,
Clean_Data!A:A,"Rural+Urban",
Clean_Data!B:B,B22,
Clean_Data!C:C,TEXT(DATEVALUE("1-"&amp;RIGHT(A22,LEN(A22)-FIND(" ",A22))&amp;"-"&amp;B22),"mmmm")
)</f>
        <v>179.6</v>
      </c>
      <c r="J22">
        <f>AVERAGEIFS(
Clean_Data!Y:Y,
Clean_Data!A:A,"Rural+Urban",
Clean_Data!B:B,B22,
Clean_Data!C:C,TEXT(DATEVALUE("1-"&amp;RIGHT(A22,LEN(A22)-FIND(" ",A22))&amp;"-"&amp;B22),"mmmm")
)</f>
        <v>161.6</v>
      </c>
      <c r="K22">
        <f>AVERAGEIFS(
Clean_Data!X:X,
Clean_Data!A:A,"Rural+Urban",
Clean_Data!B:B,B22,
Clean_Data!C:C,TEXT(DATEVALUE("1-"&amp;RIGHT(A22,LEN(A22)-FIND(" ",A22))&amp;"-"&amp;B22),"mmmm")
)</f>
        <v>176.1</v>
      </c>
      <c r="L22">
        <f>AVERAGEIFS(
Clean_Data!P:P,
Clean_Data!A:A,"Rural+Urban",
Clean_Data!B:B,B22,
Clean_Data!C:C,TEXT(DATEVALUE("1-"&amp;RIGHT(A22,LEN(A22)-FIND(" ",A22))&amp;"-"&amp;B22),"mmmm")
)</f>
        <v>175</v>
      </c>
      <c r="M22">
        <f>AVERAGEIFS(
Clean_Data!D:D,
Clean_Data!A:A,"Rural+Urban",
Clean_Data!B:B,B22,
Clean_Data!C:C,TEXT(DATEVALUE("1-"&amp;RIGHT(A22,LEN(A22)-FIND(" ",A22))&amp;"-"&amp;B22),"mmmm")
)</f>
        <v>156.5</v>
      </c>
      <c r="N22" s="14">
        <f t="shared" si="3"/>
        <v>-1.7364657814096043E-2</v>
      </c>
      <c r="O22" s="14">
        <f t="shared" si="4"/>
        <v>-4.4543429844097048E-3</v>
      </c>
      <c r="P22" s="14">
        <f t="shared" si="5"/>
        <v>1.8564356435644268E-3</v>
      </c>
      <c r="Q22" s="14">
        <f t="shared" si="6"/>
        <v>3.9750141964793699E-3</v>
      </c>
      <c r="R22" s="14">
        <f t="shared" si="7"/>
        <v>7.4285714285714935E-3</v>
      </c>
      <c r="S22" s="14">
        <f t="shared" si="8"/>
        <v>2.4281150159744483E-2</v>
      </c>
    </row>
    <row r="23" spans="1:19" x14ac:dyDescent="0.35">
      <c r="A23" t="s">
        <v>88</v>
      </c>
      <c r="B23">
        <v>2022</v>
      </c>
      <c r="C23" t="s">
        <v>41</v>
      </c>
      <c r="D23">
        <f>AVERAGEIFS(
Clean_Data!AD:AD,
Clean_Data!A:A,"Rural+Urban",
Clean_Data!B:B,B23,
Clean_Data!C:C,TEXT(DATEVALUE("1-"&amp;RIGHT(A23,LEN(A23)-FIND(" ",A23))&amp;"-"&amp;B23),"mmmm")
)</f>
        <v>174.3</v>
      </c>
      <c r="E23">
        <v>101.47</v>
      </c>
      <c r="F23" s="14">
        <f t="shared" si="9"/>
        <v>-8.2466769147300875E-2</v>
      </c>
      <c r="G23" s="14">
        <f t="shared" si="10"/>
        <v>5.1903114186851538E-3</v>
      </c>
      <c r="H23">
        <f>AVERAGEIFS(
Clean_Data!H:H,
Clean_Data!A:A,"Rural+Urban",
Clean_Data!B:B,B23,
Clean_Data!C:C,TEXT(DATEVALUE("1-"&amp;RIGHT(A23,LEN(A23)-FIND(" ",A23))&amp;"-"&amp;B23),"mmmm")
)</f>
        <v>192.4</v>
      </c>
      <c r="I23">
        <f>AVERAGEIFS(
Clean_Data!V:V,
Clean_Data!A:A,"Rural+Urban",
Clean_Data!B:B,B23,
Clean_Data!C:C,TEXT(DATEVALUE("1-"&amp;RIGHT(A23,LEN(A23)-FIND(" ",A23))&amp;"-"&amp;B23),"mmmm")
)</f>
        <v>178.8</v>
      </c>
      <c r="J23">
        <f>AVERAGEIFS(
Clean_Data!Y:Y,
Clean_Data!A:A,"Rural+Urban",
Clean_Data!B:B,B23,
Clean_Data!C:C,TEXT(DATEVALUE("1-"&amp;RIGHT(A23,LEN(A23)-FIND(" ",A23))&amp;"-"&amp;B23),"mmmm")
)</f>
        <v>161.9</v>
      </c>
      <c r="K23">
        <f>AVERAGEIFS(
Clean_Data!X:X,
Clean_Data!A:A,"Rural+Urban",
Clean_Data!B:B,B23,
Clean_Data!C:C,TEXT(DATEVALUE("1-"&amp;RIGHT(A23,LEN(A23)-FIND(" ",A23))&amp;"-"&amp;B23),"mmmm")
)</f>
        <v>176.8</v>
      </c>
      <c r="L23">
        <f>AVERAGEIFS(
Clean_Data!P:P,
Clean_Data!A:A,"Rural+Urban",
Clean_Data!B:B,B23,
Clean_Data!C:C,TEXT(DATEVALUE("1-"&amp;RIGHT(A23,LEN(A23)-FIND(" ",A23))&amp;"-"&amp;B23),"mmmm")
)</f>
        <v>176.3</v>
      </c>
      <c r="M23">
        <f>AVERAGEIFS(
Clean_Data!D:D,
Clean_Data!A:A,"Rural+Urban",
Clean_Data!B:B,B23,
Clean_Data!C:C,TEXT(DATEVALUE("1-"&amp;RIGHT(A23,LEN(A23)-FIND(" ",A23))&amp;"-"&amp;B23),"mmmm")
)</f>
        <v>160.30000000000001</v>
      </c>
      <c r="N23" s="14">
        <f t="shared" si="3"/>
        <v>-1.9230769230769319E-2</v>
      </c>
      <c r="O23" s="14">
        <f t="shared" si="4"/>
        <v>3.9149888143176093E-3</v>
      </c>
      <c r="P23" s="14">
        <f t="shared" si="5"/>
        <v>2.470660901791264E-3</v>
      </c>
      <c r="Q23" s="14">
        <f t="shared" si="6"/>
        <v>5.6561085972850677E-3</v>
      </c>
      <c r="R23" s="14">
        <f t="shared" si="7"/>
        <v>8.5082246171298923E-3</v>
      </c>
      <c r="S23" s="14">
        <f t="shared" si="8"/>
        <v>1.9962570180910719E-2</v>
      </c>
    </row>
    <row r="24" spans="1:19" x14ac:dyDescent="0.35">
      <c r="A24" t="s">
        <v>89</v>
      </c>
      <c r="B24">
        <v>2022</v>
      </c>
      <c r="C24" t="s">
        <v>42</v>
      </c>
      <c r="D24">
        <f>AVERAGEIFS(
Clean_Data!AD:AD,
Clean_Data!A:A,"Rural+Urban",
Clean_Data!B:B,B24,
Clean_Data!C:C,TEXT(DATEVALUE("1-"&amp;RIGHT(A24,LEN(A24)-FIND(" ",A24))&amp;"-"&amp;B24),"mmmm")
)</f>
        <v>175.3</v>
      </c>
      <c r="E24">
        <v>91.77</v>
      </c>
      <c r="F24" s="14">
        <f t="shared" si="9"/>
        <v>-9.5594757071055511E-2</v>
      </c>
      <c r="G24" s="14">
        <f t="shared" si="10"/>
        <v>5.737234652897303E-3</v>
      </c>
      <c r="H24">
        <f>AVERAGEIFS(
Clean_Data!H:H,
Clean_Data!A:A,"Rural+Urban",
Clean_Data!B:B,B24,
Clean_Data!C:C,TEXT(DATEVALUE("1-"&amp;RIGHT(A24,LEN(A24)-FIND(" ",A24))&amp;"-"&amp;B24),"mmmm")
)</f>
        <v>188.7</v>
      </c>
      <c r="I24">
        <f>AVERAGEIFS(
Clean_Data!V:V,
Clean_Data!A:A,"Rural+Urban",
Clean_Data!B:B,B24,
Clean_Data!C:C,TEXT(DATEVALUE("1-"&amp;RIGHT(A24,LEN(A24)-FIND(" ",A24))&amp;"-"&amp;B24),"mmmm")
)</f>
        <v>179.5</v>
      </c>
      <c r="J24">
        <f>AVERAGEIFS(
Clean_Data!Y:Y,
Clean_Data!A:A,"Rural+Urban",
Clean_Data!B:B,B24,
Clean_Data!C:C,TEXT(DATEVALUE("1-"&amp;RIGHT(A24,LEN(A24)-FIND(" ",A24))&amp;"-"&amp;B24),"mmmm")
)</f>
        <v>162.30000000000001</v>
      </c>
      <c r="K24">
        <f>AVERAGEIFS(
Clean_Data!X:X,
Clean_Data!A:A,"Rural+Urban",
Clean_Data!B:B,B24,
Clean_Data!C:C,TEXT(DATEVALUE("1-"&amp;RIGHT(A24,LEN(A24)-FIND(" ",A24))&amp;"-"&amp;B24),"mmmm")
)</f>
        <v>177.8</v>
      </c>
      <c r="L24">
        <f>AVERAGEIFS(
Clean_Data!P:P,
Clean_Data!A:A,"Rural+Urban",
Clean_Data!B:B,B24,
Clean_Data!C:C,TEXT(DATEVALUE("1-"&amp;RIGHT(A24,LEN(A24)-FIND(" ",A24))&amp;"-"&amp;B24),"mmmm")
)</f>
        <v>177.8</v>
      </c>
      <c r="M24">
        <f>AVERAGEIFS(
Clean_Data!D:D,
Clean_Data!A:A,"Rural+Urban",
Clean_Data!B:B,B24,
Clean_Data!C:C,TEXT(DATEVALUE("1-"&amp;RIGHT(A24,LEN(A24)-FIND(" ",A24))&amp;"-"&amp;B24),"mmmm")
)</f>
        <v>163.5</v>
      </c>
      <c r="N24" s="14">
        <f t="shared" si="3"/>
        <v>-1.1658717541070422E-2</v>
      </c>
      <c r="O24" s="14">
        <f t="shared" si="4"/>
        <v>5.5710306406685237E-3</v>
      </c>
      <c r="P24" s="14">
        <f t="shared" si="5"/>
        <v>3.6968576709796321E-3</v>
      </c>
      <c r="Q24" s="14">
        <f t="shared" si="6"/>
        <v>5.0618672665915477E-3</v>
      </c>
      <c r="R24" s="14">
        <f t="shared" si="7"/>
        <v>1.0123734533183255E-2</v>
      </c>
      <c r="S24" s="14">
        <f t="shared" si="8"/>
        <v>1.0397553516819502E-2</v>
      </c>
    </row>
    <row r="25" spans="1:19" x14ac:dyDescent="0.35">
      <c r="A25" t="s">
        <v>90</v>
      </c>
      <c r="B25">
        <v>2022</v>
      </c>
      <c r="C25" t="s">
        <v>43</v>
      </c>
      <c r="D25">
        <f>AVERAGEIFS(
Clean_Data!AD:AD,
Clean_Data!A:A,"Rural+Urban",
Clean_Data!B:B,B25,
Clean_Data!C:C,TEXT(DATEVALUE("1-"&amp;RIGHT(A25,LEN(A25)-FIND(" ",A25))&amp;"-"&amp;B25),"mmmm")
)</f>
        <v>176.7</v>
      </c>
      <c r="E25">
        <v>92.64</v>
      </c>
      <c r="F25" s="14">
        <f t="shared" si="9"/>
        <v>9.4802222948676546E-3</v>
      </c>
      <c r="G25" s="14">
        <f t="shared" si="10"/>
        <v>7.9863091842554308E-3</v>
      </c>
      <c r="H25">
        <f>AVERAGEIFS(
Clean_Data!H:H,
Clean_Data!A:A,"Rural+Urban",
Clean_Data!B:B,B25,
Clean_Data!C:C,TEXT(DATEVALUE("1-"&amp;RIGHT(A25,LEN(A25)-FIND(" ",A25))&amp;"-"&amp;B25),"mmmm")
)</f>
        <v>186.5</v>
      </c>
      <c r="I25">
        <f>AVERAGEIFS(
Clean_Data!V:V,
Clean_Data!A:A,"Rural+Urban",
Clean_Data!B:B,B25,
Clean_Data!C:C,TEXT(DATEVALUE("1-"&amp;RIGHT(A25,LEN(A25)-FIND(" ",A25))&amp;"-"&amp;B25),"mmmm")
)</f>
        <v>180.5</v>
      </c>
      <c r="J25">
        <f>AVERAGEIFS(
Clean_Data!Y:Y,
Clean_Data!A:A,"Rural+Urban",
Clean_Data!B:B,B25,
Clean_Data!C:C,TEXT(DATEVALUE("1-"&amp;RIGHT(A25,LEN(A25)-FIND(" ",A25))&amp;"-"&amp;B25),"mmmm")
)</f>
        <v>162.9</v>
      </c>
      <c r="K25">
        <f>AVERAGEIFS(
Clean_Data!X:X,
Clean_Data!A:A,"Rural+Urban",
Clean_Data!B:B,B25,
Clean_Data!C:C,TEXT(DATEVALUE("1-"&amp;RIGHT(A25,LEN(A25)-FIND(" ",A25))&amp;"-"&amp;B25),"mmmm")
)</f>
        <v>178.7</v>
      </c>
      <c r="L25">
        <f>AVERAGEIFS(
Clean_Data!P:P,
Clean_Data!A:A,"Rural+Urban",
Clean_Data!B:B,B25,
Clean_Data!C:C,TEXT(DATEVALUE("1-"&amp;RIGHT(A25,LEN(A25)-FIND(" ",A25))&amp;"-"&amp;B25),"mmmm")
)</f>
        <v>179.6</v>
      </c>
      <c r="M25">
        <f>AVERAGEIFS(
Clean_Data!D:D,
Clean_Data!A:A,"Rural+Urban",
Clean_Data!B:B,B25,
Clean_Data!C:C,TEXT(DATEVALUE("1-"&amp;RIGHT(A25,LEN(A25)-FIND(" ",A25))&amp;"-"&amp;B25),"mmmm")
)</f>
        <v>165.2</v>
      </c>
      <c r="N25" s="14">
        <f t="shared" si="3"/>
        <v>1.286863270777483E-2</v>
      </c>
      <c r="O25" s="14">
        <f t="shared" si="4"/>
        <v>4.4321329639889825E-3</v>
      </c>
      <c r="P25" s="14">
        <f t="shared" si="5"/>
        <v>6.1387354205030267E-4</v>
      </c>
      <c r="Q25" s="14">
        <f t="shared" si="6"/>
        <v>6.1555679910465745E-3</v>
      </c>
      <c r="R25" s="14">
        <f t="shared" si="7"/>
        <v>-7.2383073496658295E-3</v>
      </c>
      <c r="S25" s="14">
        <f t="shared" si="8"/>
        <v>1.3317191283293082E-2</v>
      </c>
    </row>
    <row r="26" spans="1:19" x14ac:dyDescent="0.35">
      <c r="A26" t="s">
        <v>91</v>
      </c>
      <c r="B26">
        <v>2022</v>
      </c>
      <c r="C26" t="s">
        <v>45</v>
      </c>
      <c r="D26">
        <f>AVERAGEIFS(
Clean_Data!AD:AD,
Clean_Data!A:A,"Rural+Urban",
Clean_Data!B:B,B26,
Clean_Data!C:C,TEXT(DATEVALUE("1-"&amp;RIGHT(A26,LEN(A26)-FIND(" ",A26))&amp;"-"&amp;B26),"mmmm")
)</f>
        <v>176.5</v>
      </c>
      <c r="E26">
        <v>91.49</v>
      </c>
      <c r="F26" s="14">
        <f t="shared" si="9"/>
        <v>-1.241364421416241E-2</v>
      </c>
      <c r="G26" s="14">
        <f t="shared" si="10"/>
        <v>-1.1318619128465684E-3</v>
      </c>
      <c r="H26">
        <f>AVERAGEIFS(
Clean_Data!H:H,
Clean_Data!A:A,"Rural+Urban",
Clean_Data!B:B,B26,
Clean_Data!C:C,TEXT(DATEVALUE("1-"&amp;RIGHT(A26,LEN(A26)-FIND(" ",A26))&amp;"-"&amp;B26),"mmmm")
)</f>
        <v>188.9</v>
      </c>
      <c r="I26">
        <f>AVERAGEIFS(
Clean_Data!V:V,
Clean_Data!A:A,"Rural+Urban",
Clean_Data!B:B,B26,
Clean_Data!C:C,TEXT(DATEVALUE("1-"&amp;RIGHT(A26,LEN(A26)-FIND(" ",A26))&amp;"-"&amp;B26),"mmmm")
)</f>
        <v>181.3</v>
      </c>
      <c r="J26">
        <f>AVERAGEIFS(
Clean_Data!Y:Y,
Clean_Data!A:A,"Rural+Urban",
Clean_Data!B:B,B26,
Clean_Data!C:C,TEXT(DATEVALUE("1-"&amp;RIGHT(A26,LEN(A26)-FIND(" ",A26))&amp;"-"&amp;B26),"mmmm")
)</f>
        <v>163</v>
      </c>
      <c r="K26">
        <f>AVERAGEIFS(
Clean_Data!X:X,
Clean_Data!A:A,"Rural+Urban",
Clean_Data!B:B,B26,
Clean_Data!C:C,TEXT(DATEVALUE("1-"&amp;RIGHT(A26,LEN(A26)-FIND(" ",A26))&amp;"-"&amp;B26),"mmmm")
)</f>
        <v>179.8</v>
      </c>
      <c r="L26">
        <f>AVERAGEIFS(
Clean_Data!P:P,
Clean_Data!A:A,"Rural+Urban",
Clean_Data!B:B,B26,
Clean_Data!C:C,TEXT(DATEVALUE("1-"&amp;RIGHT(A26,LEN(A26)-FIND(" ",A26))&amp;"-"&amp;B26),"mmmm")
)</f>
        <v>178.3</v>
      </c>
      <c r="M26">
        <f>AVERAGEIFS(
Clean_Data!D:D,
Clean_Data!A:A,"Rural+Urban",
Clean_Data!B:B,B26,
Clean_Data!C:C,TEXT(DATEVALUE("1-"&amp;RIGHT(A26,LEN(A26)-FIND(" ",A26))&amp;"-"&amp;B26),"mmmm")
)</f>
        <v>167.4</v>
      </c>
      <c r="N26" s="14">
        <f t="shared" si="3"/>
        <v>-2.1175224986765785E-3</v>
      </c>
      <c r="O26" s="14">
        <f t="shared" si="4"/>
        <v>3.8610038610037982E-3</v>
      </c>
      <c r="P26" s="14">
        <f t="shared" si="5"/>
        <v>2.4539877300613845E-3</v>
      </c>
      <c r="Q26" s="14">
        <f t="shared" si="6"/>
        <v>7.2302558398219295E-3</v>
      </c>
      <c r="R26" s="14">
        <f t="shared" si="7"/>
        <v>-1.3460459899046581E-2</v>
      </c>
      <c r="S26" s="14">
        <f t="shared" si="8"/>
        <v>1.0752688172042909E-2</v>
      </c>
    </row>
    <row r="27" spans="1:19" x14ac:dyDescent="0.35">
      <c r="A27" t="s">
        <v>92</v>
      </c>
      <c r="B27">
        <v>2022</v>
      </c>
      <c r="C27" t="s">
        <v>46</v>
      </c>
      <c r="D27">
        <f>AVERAGEIFS(
Clean_Data!AD:AD,
Clean_Data!A:A,"Rural+Urban",
Clean_Data!B:B,B27,
Clean_Data!C:C,TEXT(DATEVALUE("1-"&amp;RIGHT(A27,LEN(A27)-FIND(" ",A27))&amp;"-"&amp;B27),"mmmm")
)</f>
        <v>175.7</v>
      </c>
      <c r="E27">
        <v>83.56</v>
      </c>
      <c r="F27" s="14">
        <f t="shared" si="9"/>
        <v>-8.6676139468794322E-2</v>
      </c>
      <c r="G27" s="14">
        <f t="shared" si="10"/>
        <v>-4.5325779036827843E-3</v>
      </c>
      <c r="H27">
        <f>AVERAGEIFS(
Clean_Data!H:H,
Clean_Data!A:A,"Rural+Urban",
Clean_Data!B:B,B27,
Clean_Data!C:C,TEXT(DATEVALUE("1-"&amp;RIGHT(A27,LEN(A27)-FIND(" ",A27))&amp;"-"&amp;B27),"mmmm")
)</f>
        <v>188.5</v>
      </c>
      <c r="I27">
        <f>AVERAGEIFS(
Clean_Data!V:V,
Clean_Data!A:A,"Rural+Urban",
Clean_Data!B:B,B27,
Clean_Data!C:C,TEXT(DATEVALUE("1-"&amp;RIGHT(A27,LEN(A27)-FIND(" ",A27))&amp;"-"&amp;B27),"mmmm")
)</f>
        <v>182</v>
      </c>
      <c r="J27">
        <f>AVERAGEIFS(
Clean_Data!Y:Y,
Clean_Data!A:A,"Rural+Urban",
Clean_Data!B:B,B27,
Clean_Data!C:C,TEXT(DATEVALUE("1-"&amp;RIGHT(A27,LEN(A27)-FIND(" ",A27))&amp;"-"&amp;B27),"mmmm")
)</f>
        <v>163.4</v>
      </c>
      <c r="K27">
        <f>AVERAGEIFS(
Clean_Data!X:X,
Clean_Data!A:A,"Rural+Urban",
Clean_Data!B:B,B27,
Clean_Data!C:C,TEXT(DATEVALUE("1-"&amp;RIGHT(A27,LEN(A27)-FIND(" ",A27))&amp;"-"&amp;B27),"mmmm")
)</f>
        <v>181.1</v>
      </c>
      <c r="L27">
        <f>AVERAGEIFS(
Clean_Data!P:P,
Clean_Data!A:A,"Rural+Urban",
Clean_Data!B:B,B27,
Clean_Data!C:C,TEXT(DATEVALUE("1-"&amp;RIGHT(A27,LEN(A27)-FIND(" ",A27))&amp;"-"&amp;B27),"mmmm")
)</f>
        <v>175.9</v>
      </c>
      <c r="M27">
        <f>AVERAGEIFS(
Clean_Data!D:D,
Clean_Data!A:A,"Rural+Urban",
Clean_Data!B:B,B27,
Clean_Data!C:C,TEXT(DATEVALUE("1-"&amp;RIGHT(A27,LEN(A27)-FIND(" ",A27))&amp;"-"&amp;B27),"mmmm")
)</f>
        <v>169.2</v>
      </c>
      <c r="N27" s="14">
        <f t="shared" si="3"/>
        <v>-6.8965517241379917E-3</v>
      </c>
      <c r="O27" s="14">
        <f t="shared" si="4"/>
        <v>0</v>
      </c>
      <c r="P27" s="14">
        <f t="shared" si="5"/>
        <v>1.2239902080782657E-3</v>
      </c>
      <c r="Q27" s="14">
        <f t="shared" si="6"/>
        <v>6.6261733848703317E-3</v>
      </c>
      <c r="R27" s="14">
        <f t="shared" si="7"/>
        <v>4.5480386583284984E-3</v>
      </c>
      <c r="S27" s="14">
        <f t="shared" si="8"/>
        <v>2.7186761229314557E-2</v>
      </c>
    </row>
    <row r="28" spans="1:19" x14ac:dyDescent="0.35">
      <c r="A28" t="s">
        <v>93</v>
      </c>
      <c r="B28">
        <v>2023</v>
      </c>
      <c r="C28" t="s">
        <v>31</v>
      </c>
      <c r="D28">
        <f>AVERAGEIFS(
Clean_Data!AD:AD,
Clean_Data!A:A,"Rural+Urban",
Clean_Data!B:B,B28,
Clean_Data!C:C,TEXT(DATEVALUE("1-"&amp;RIGHT(A28,LEN(A28)-FIND(" ",A28))&amp;"-"&amp;B28),"mmmm")
)</f>
        <v>176.5</v>
      </c>
      <c r="E28">
        <v>82.6</v>
      </c>
      <c r="F28" s="14">
        <f t="shared" si="9"/>
        <v>-1.1488750598372522E-2</v>
      </c>
      <c r="G28" s="14">
        <f t="shared" si="10"/>
        <v>4.5532157085942599E-3</v>
      </c>
      <c r="H28">
        <f>AVERAGEIFS(
Clean_Data!H:H,
Clean_Data!A:A,"Rural+Urban",
Clean_Data!B:B,B28,
Clean_Data!C:C,TEXT(DATEVALUE("1-"&amp;RIGHT(A28,LEN(A28)-FIND(" ",A28))&amp;"-"&amp;B28),"mmmm")
)</f>
        <v>187.2</v>
      </c>
      <c r="I28">
        <f>AVERAGEIFS(
Clean_Data!V:V,
Clean_Data!A:A,"Rural+Urban",
Clean_Data!B:B,B28,
Clean_Data!C:C,TEXT(DATEVALUE("1-"&amp;RIGHT(A28,LEN(A28)-FIND(" ",A28))&amp;"-"&amp;B28),"mmmm")
)</f>
        <v>182</v>
      </c>
      <c r="J28">
        <f>AVERAGEIFS(
Clean_Data!Y:Y,
Clean_Data!A:A,"Rural+Urban",
Clean_Data!B:B,B28,
Clean_Data!C:C,TEXT(DATEVALUE("1-"&amp;RIGHT(A28,LEN(A28)-FIND(" ",A28))&amp;"-"&amp;B28),"mmmm")
)</f>
        <v>163.6</v>
      </c>
      <c r="K28">
        <f>AVERAGEIFS(
Clean_Data!X:X,
Clean_Data!A:A,"Rural+Urban",
Clean_Data!B:B,B28,
Clean_Data!C:C,TEXT(DATEVALUE("1-"&amp;RIGHT(A28,LEN(A28)-FIND(" ",A28))&amp;"-"&amp;B28),"mmmm")
)</f>
        <v>182.3</v>
      </c>
      <c r="L28">
        <f>AVERAGEIFS(
Clean_Data!P:P,
Clean_Data!A:A,"Rural+Urban",
Clean_Data!B:B,B28,
Clean_Data!C:C,TEXT(DATEVALUE("1-"&amp;RIGHT(A28,LEN(A28)-FIND(" ",A28))&amp;"-"&amp;B28),"mmmm")
)</f>
        <v>176.7</v>
      </c>
      <c r="M28">
        <f>AVERAGEIFS(
Clean_Data!D:D,
Clean_Data!A:A,"Rural+Urban",
Clean_Data!B:B,B28,
Clean_Data!C:C,TEXT(DATEVALUE("1-"&amp;RIGHT(A28,LEN(A28)-FIND(" ",A28))&amp;"-"&amp;B28),"mmmm")
)</f>
        <v>173.8</v>
      </c>
      <c r="N28" s="14">
        <f t="shared" si="3"/>
        <v>-4.2200854700854579E-2</v>
      </c>
      <c r="O28" s="14">
        <f t="shared" si="4"/>
        <v>5.4945054945051823E-4</v>
      </c>
      <c r="P28" s="14">
        <f t="shared" si="5"/>
        <v>3.6674816625916523E-3</v>
      </c>
      <c r="Q28" s="14">
        <f t="shared" si="6"/>
        <v>1.1519473395501889E-2</v>
      </c>
      <c r="R28" s="14">
        <f t="shared" si="7"/>
        <v>1.6977928692700134E-3</v>
      </c>
      <c r="S28" s="14">
        <f t="shared" si="8"/>
        <v>3.4522439585730398E-3</v>
      </c>
    </row>
    <row r="29" spans="1:19" x14ac:dyDescent="0.35">
      <c r="A29" t="s">
        <v>94</v>
      </c>
      <c r="B29">
        <v>2023</v>
      </c>
      <c r="C29" t="s">
        <v>35</v>
      </c>
      <c r="D29">
        <f>AVERAGEIFS(
Clean_Data!AD:AD,
Clean_Data!A:A,"Rural+Urban",
Clean_Data!B:B,B29,
Clean_Data!C:C,TEXT(DATEVALUE("1-"&amp;RIGHT(A29,LEN(A29)-FIND(" ",A29))&amp;"-"&amp;B29),"mmmm")
)</f>
        <v>177.2</v>
      </c>
      <c r="E29">
        <v>82.56</v>
      </c>
      <c r="F29" s="14">
        <f t="shared" si="9"/>
        <v>-4.8426150121055742E-4</v>
      </c>
      <c r="G29" s="14">
        <f t="shared" si="10"/>
        <v>3.9660056657223148E-3</v>
      </c>
      <c r="H29">
        <f>AVERAGEIFS(
Clean_Data!H:H,
Clean_Data!A:A,"Rural+Urban",
Clean_Data!B:B,B29,
Clean_Data!C:C,TEXT(DATEVALUE("1-"&amp;RIGHT(A29,LEN(A29)-FIND(" ",A29))&amp;"-"&amp;B29),"mmmm")
)</f>
        <v>179.3</v>
      </c>
      <c r="I29">
        <f>AVERAGEIFS(
Clean_Data!V:V,
Clean_Data!A:A,"Rural+Urban",
Clean_Data!B:B,B29,
Clean_Data!C:C,TEXT(DATEVALUE("1-"&amp;RIGHT(A29,LEN(A29)-FIND(" ",A29))&amp;"-"&amp;B29),"mmmm")
)</f>
        <v>182.1</v>
      </c>
      <c r="J29">
        <f>AVERAGEIFS(
Clean_Data!Y:Y,
Clean_Data!A:A,"Rural+Urban",
Clean_Data!B:B,B29,
Clean_Data!C:C,TEXT(DATEVALUE("1-"&amp;RIGHT(A29,LEN(A29)-FIND(" ",A29))&amp;"-"&amp;B29),"mmmm")
)</f>
        <v>164.2</v>
      </c>
      <c r="K29">
        <f>AVERAGEIFS(
Clean_Data!X:X,
Clean_Data!A:A,"Rural+Urban",
Clean_Data!B:B,B29,
Clean_Data!C:C,TEXT(DATEVALUE("1-"&amp;RIGHT(A29,LEN(A29)-FIND(" ",A29))&amp;"-"&amp;B29),"mmmm")
)</f>
        <v>184.4</v>
      </c>
      <c r="L29">
        <f>AVERAGEIFS(
Clean_Data!P:P,
Clean_Data!A:A,"Rural+Urban",
Clean_Data!B:B,B29,
Clean_Data!C:C,TEXT(DATEVALUE("1-"&amp;RIGHT(A29,LEN(A29)-FIND(" ",A29))&amp;"-"&amp;B29),"mmmm")
)</f>
        <v>177</v>
      </c>
      <c r="M29">
        <f>AVERAGEIFS(
Clean_Data!D:D,
Clean_Data!A:A,"Rural+Urban",
Clean_Data!B:B,B29,
Clean_Data!C:C,TEXT(DATEVALUE("1-"&amp;RIGHT(A29,LEN(A29)-FIND(" ",A29))&amp;"-"&amp;B29),"mmmm")
)</f>
        <v>174.4</v>
      </c>
      <c r="N29" s="14">
        <f t="shared" si="3"/>
        <v>-5.5772448410497898E-4</v>
      </c>
      <c r="O29" s="14">
        <f t="shared" si="4"/>
        <v>-1.0982976386600144E-3</v>
      </c>
      <c r="P29" s="14">
        <f t="shared" si="5"/>
        <v>0</v>
      </c>
      <c r="Q29" s="14">
        <f t="shared" si="6"/>
        <v>0</v>
      </c>
      <c r="R29" s="14">
        <f t="shared" si="7"/>
        <v>0</v>
      </c>
      <c r="S29" s="14">
        <f t="shared" si="8"/>
        <v>0</v>
      </c>
    </row>
    <row r="30" spans="1:19" x14ac:dyDescent="0.35">
      <c r="A30" t="s">
        <v>95</v>
      </c>
      <c r="B30">
        <v>2023</v>
      </c>
      <c r="C30" t="s">
        <v>36</v>
      </c>
      <c r="D30">
        <f>AVERAGEIFS(
Clean_Data!AD:AD,
Clean_Data!A:A,"Rural+Urban",
Clean_Data!B:B,B30,
Clean_Data!C:C,TEXT(DATEVALUE("1-"&amp;RIGHT(A30,LEN(A30)-FIND(" ",A30))&amp;"-"&amp;B30),"mmmm")
)</f>
        <v>177.2</v>
      </c>
      <c r="E30">
        <v>78.23</v>
      </c>
      <c r="F30" s="14">
        <f t="shared" si="9"/>
        <v>-5.2446705426356564E-2</v>
      </c>
      <c r="G30" s="14">
        <f t="shared" si="10"/>
        <v>0</v>
      </c>
      <c r="H30">
        <f>AVERAGEIFS(
Clean_Data!H:H,
Clean_Data!A:A,"Rural+Urban",
Clean_Data!B:B,B30,
Clean_Data!C:C,TEXT(DATEVALUE("1-"&amp;RIGHT(A30,LEN(A30)-FIND(" ",A30))&amp;"-"&amp;B30),"mmmm")
)</f>
        <v>179.2</v>
      </c>
      <c r="I30">
        <f>AVERAGEIFS(
Clean_Data!V:V,
Clean_Data!A:A,"Rural+Urban",
Clean_Data!B:B,B30,
Clean_Data!C:C,TEXT(DATEVALUE("1-"&amp;RIGHT(A30,LEN(A30)-FIND(" ",A30))&amp;"-"&amp;B30),"mmmm")
)</f>
        <v>181.9</v>
      </c>
      <c r="J30">
        <f>AVERAGEIFS(
Clean_Data!Y:Y,
Clean_Data!A:A,"Rural+Urban",
Clean_Data!B:B,B30,
Clean_Data!C:C,TEXT(DATEVALUE("1-"&amp;RIGHT(A30,LEN(A30)-FIND(" ",A30))&amp;"-"&amp;B30),"mmmm")
)</f>
        <v>164.2</v>
      </c>
      <c r="K30">
        <f>AVERAGEIFS(
Clean_Data!X:X,
Clean_Data!A:A,"Rural+Urban",
Clean_Data!B:B,B30,
Clean_Data!C:C,TEXT(DATEVALUE("1-"&amp;RIGHT(A30,LEN(A30)-FIND(" ",A30))&amp;"-"&amp;B30),"mmmm")
)</f>
        <v>184.4</v>
      </c>
      <c r="L30">
        <f>AVERAGEIFS(
Clean_Data!P:P,
Clean_Data!A:A,"Rural+Urban",
Clean_Data!B:B,B30,
Clean_Data!C:C,TEXT(DATEVALUE("1-"&amp;RIGHT(A30,LEN(A30)-FIND(" ",A30))&amp;"-"&amp;B30),"mmmm")
)</f>
        <v>177</v>
      </c>
      <c r="M30">
        <f>AVERAGEIFS(
Clean_Data!D:D,
Clean_Data!A:A,"Rural+Urban",
Clean_Data!B:B,B30,
Clean_Data!C:C,TEXT(DATEVALUE("1-"&amp;RIGHT(A30,LEN(A30)-FIND(" ",A30))&amp;"-"&amp;B30),"mmmm")
)</f>
        <v>174.4</v>
      </c>
      <c r="N30" s="14">
        <f t="shared" si="3"/>
        <v>-2.3995535714285622E-2</v>
      </c>
      <c r="O30" s="14">
        <f t="shared" si="4"/>
        <v>-1.0995052226499013E-3</v>
      </c>
      <c r="P30" s="14">
        <f t="shared" si="5"/>
        <v>1.8270401948843567E-3</v>
      </c>
      <c r="Q30" s="14">
        <f t="shared" si="6"/>
        <v>3.2537960954446546E-3</v>
      </c>
      <c r="R30" s="14">
        <f t="shared" si="7"/>
        <v>5.0847457627118961E-3</v>
      </c>
      <c r="S30" s="14">
        <f t="shared" si="8"/>
        <v>-3.4403669724770315E-3</v>
      </c>
    </row>
    <row r="31" spans="1:19" x14ac:dyDescent="0.35">
      <c r="A31" t="s">
        <v>96</v>
      </c>
      <c r="B31">
        <v>2023</v>
      </c>
      <c r="C31" t="s">
        <v>37</v>
      </c>
      <c r="D31">
        <f>AVERAGEIFS(
Clean_Data!AD:AD,
Clean_Data!A:A,"Rural+Urban",
Clean_Data!B:B,B31,
Clean_Data!C:C,TEXT(DATEVALUE("1-"&amp;RIGHT(A31,LEN(A31)-FIND(" ",A31))&amp;"-"&amp;B31),"mmmm")
)</f>
        <v>178.1</v>
      </c>
      <c r="E31">
        <v>83.73</v>
      </c>
      <c r="F31" s="14">
        <f t="shared" si="9"/>
        <v>7.0305509395372612E-2</v>
      </c>
      <c r="G31" s="14">
        <f t="shared" si="10"/>
        <v>5.0790067720090613E-3</v>
      </c>
      <c r="H31">
        <f>AVERAGEIFS(
Clean_Data!H:H,
Clean_Data!A:A,"Rural+Urban",
Clean_Data!B:B,B31,
Clean_Data!C:C,TEXT(DATEVALUE("1-"&amp;RIGHT(A31,LEN(A31)-FIND(" ",A31))&amp;"-"&amp;B31),"mmmm")
)</f>
        <v>174.9</v>
      </c>
      <c r="I31">
        <f>AVERAGEIFS(
Clean_Data!V:V,
Clean_Data!A:A,"Rural+Urban",
Clean_Data!B:B,B31,
Clean_Data!C:C,TEXT(DATEVALUE("1-"&amp;RIGHT(A31,LEN(A31)-FIND(" ",A31))&amp;"-"&amp;B31),"mmmm")
)</f>
        <v>181.7</v>
      </c>
      <c r="J31">
        <f>AVERAGEIFS(
Clean_Data!Y:Y,
Clean_Data!A:A,"Rural+Urban",
Clean_Data!B:B,B31,
Clean_Data!C:C,TEXT(DATEVALUE("1-"&amp;RIGHT(A31,LEN(A31)-FIND(" ",A31))&amp;"-"&amp;B31),"mmmm")
)</f>
        <v>164.5</v>
      </c>
      <c r="K31">
        <f>AVERAGEIFS(
Clean_Data!X:X,
Clean_Data!A:A,"Rural+Urban",
Clean_Data!B:B,B31,
Clean_Data!C:C,TEXT(DATEVALUE("1-"&amp;RIGHT(A31,LEN(A31)-FIND(" ",A31))&amp;"-"&amp;B31),"mmmm")
)</f>
        <v>185</v>
      </c>
      <c r="L31">
        <f>AVERAGEIFS(
Clean_Data!P:P,
Clean_Data!A:A,"Rural+Urban",
Clean_Data!B:B,B31,
Clean_Data!C:C,TEXT(DATEVALUE("1-"&amp;RIGHT(A31,LEN(A31)-FIND(" ",A31))&amp;"-"&amp;B31),"mmmm")
)</f>
        <v>177.9</v>
      </c>
      <c r="M31">
        <f>AVERAGEIFS(
Clean_Data!D:D,
Clean_Data!A:A,"Rural+Urban",
Clean_Data!B:B,B31,
Clean_Data!C:C,TEXT(DATEVALUE("1-"&amp;RIGHT(A31,LEN(A31)-FIND(" ",A31))&amp;"-"&amp;B31),"mmmm")
)</f>
        <v>173.8</v>
      </c>
      <c r="N31" s="14">
        <f t="shared" si="3"/>
        <v>-2.801600914808465E-2</v>
      </c>
      <c r="O31" s="14">
        <f t="shared" si="4"/>
        <v>6.0539350577876877E-3</v>
      </c>
      <c r="P31" s="14">
        <f t="shared" si="5"/>
        <v>1.8237082066869992E-3</v>
      </c>
      <c r="Q31" s="14">
        <f t="shared" si="6"/>
        <v>3.7837837837837222E-3</v>
      </c>
      <c r="R31" s="14">
        <f t="shared" si="7"/>
        <v>6.7453625632377095E-3</v>
      </c>
      <c r="S31" s="14">
        <f t="shared" si="8"/>
        <v>-5.7537399309564284E-4</v>
      </c>
    </row>
    <row r="32" spans="1:19" x14ac:dyDescent="0.35">
      <c r="A32" t="s">
        <v>97</v>
      </c>
      <c r="B32">
        <v>2023</v>
      </c>
      <c r="C32" t="s">
        <v>38</v>
      </c>
      <c r="D32">
        <f>AVERAGEIFS(
Clean_Data!AD:AD,
Clean_Data!A:A,"Rural+Urban",
Clean_Data!B:B,B32,
Clean_Data!C:C,TEXT(DATEVALUE("1-"&amp;RIGHT(A32,LEN(A32)-FIND(" ",A32))&amp;"-"&amp;B32),"mmmm")
)</f>
        <v>179.1</v>
      </c>
      <c r="E32">
        <v>76.16</v>
      </c>
      <c r="F32" s="14">
        <f t="shared" si="9"/>
        <v>-9.0409650065687408E-2</v>
      </c>
      <c r="G32" s="14">
        <f t="shared" si="10"/>
        <v>5.614823133071308E-3</v>
      </c>
      <c r="H32">
        <f>AVERAGEIFS(
Clean_Data!H:H,
Clean_Data!A:A,"Rural+Urban",
Clean_Data!B:B,B32,
Clean_Data!C:C,TEXT(DATEVALUE("1-"&amp;RIGHT(A32,LEN(A32)-FIND(" ",A32))&amp;"-"&amp;B32),"mmmm")
)</f>
        <v>170</v>
      </c>
      <c r="I32">
        <f>AVERAGEIFS(
Clean_Data!V:V,
Clean_Data!A:A,"Rural+Urban",
Clean_Data!B:B,B32,
Clean_Data!C:C,TEXT(DATEVALUE("1-"&amp;RIGHT(A32,LEN(A32)-FIND(" ",A32))&amp;"-"&amp;B32),"mmmm")
)</f>
        <v>182.8</v>
      </c>
      <c r="J32">
        <f>AVERAGEIFS(
Clean_Data!Y:Y,
Clean_Data!A:A,"Rural+Urban",
Clean_Data!B:B,B32,
Clean_Data!C:C,TEXT(DATEVALUE("1-"&amp;RIGHT(A32,LEN(A32)-FIND(" ",A32))&amp;"-"&amp;B32),"mmmm")
)</f>
        <v>164.8</v>
      </c>
      <c r="K32">
        <f>AVERAGEIFS(
Clean_Data!X:X,
Clean_Data!A:A,"Rural+Urban",
Clean_Data!B:B,B32,
Clean_Data!C:C,TEXT(DATEVALUE("1-"&amp;RIGHT(A32,LEN(A32)-FIND(" ",A32))&amp;"-"&amp;B32),"mmmm")
)</f>
        <v>185.7</v>
      </c>
      <c r="L32">
        <f>AVERAGEIFS(
Clean_Data!P:P,
Clean_Data!A:A,"Rural+Urban",
Clean_Data!B:B,B32,
Clean_Data!C:C,TEXT(DATEVALUE("1-"&amp;RIGHT(A32,LEN(A32)-FIND(" ",A32))&amp;"-"&amp;B32),"mmmm")
)</f>
        <v>179.1</v>
      </c>
      <c r="M32">
        <f>AVERAGEIFS(
Clean_Data!D:D,
Clean_Data!A:A,"Rural+Urban",
Clean_Data!B:B,B32,
Clean_Data!C:C,TEXT(DATEVALUE("1-"&amp;RIGHT(A32,LEN(A32)-FIND(" ",A32))&amp;"-"&amp;B32),"mmmm")
)</f>
        <v>173.7</v>
      </c>
      <c r="N32" s="14">
        <f>(H32-H31)/H30</f>
        <v>-2.7343750000000035E-2</v>
      </c>
      <c r="O32" s="14">
        <f>(I32-I31)/I31</f>
        <v>6.0539350577876877E-3</v>
      </c>
      <c r="P32" s="14">
        <f>(J32-J31)/J31</f>
        <v>1.8237082066869992E-3</v>
      </c>
      <c r="Q32" s="14">
        <f>(K32-K31)/K31</f>
        <v>3.7837837837837222E-3</v>
      </c>
      <c r="R32" s="14">
        <f>(L32-L31)/L31</f>
        <v>6.7453625632377095E-3</v>
      </c>
      <c r="S32" s="14">
        <f>(M32-M31)/M31</f>
        <v>-5.7537399309564284E-4</v>
      </c>
    </row>
    <row r="34" spans="1:5" ht="28.5" customHeight="1" x14ac:dyDescent="0.35">
      <c r="A34" s="57" t="s">
        <v>178</v>
      </c>
      <c r="B34" s="57"/>
      <c r="C34" s="57"/>
      <c r="D34" s="57"/>
      <c r="E34" s="57"/>
    </row>
    <row r="35" spans="1:5" x14ac:dyDescent="0.35">
      <c r="A35" s="19" t="s">
        <v>179</v>
      </c>
      <c r="B35" s="19" t="s">
        <v>180</v>
      </c>
      <c r="C35" s="19" t="s">
        <v>181</v>
      </c>
    </row>
    <row r="36" spans="1:5" x14ac:dyDescent="0.35">
      <c r="A36" t="s">
        <v>192</v>
      </c>
      <c r="B36" s="33">
        <f>CORREL(F$4:F$32,N4:N32)</f>
        <v>0.47755972299676885</v>
      </c>
      <c r="C36" t="s">
        <v>194</v>
      </c>
    </row>
    <row r="37" spans="1:5" x14ac:dyDescent="0.35">
      <c r="A37" t="s">
        <v>118</v>
      </c>
      <c r="B37" s="33">
        <f>CORREL(F$4:F$32,O4:O32)</f>
        <v>0.5482018556524757</v>
      </c>
      <c r="C37" t="s">
        <v>195</v>
      </c>
    </row>
    <row r="38" spans="1:5" x14ac:dyDescent="0.35">
      <c r="A38" t="s">
        <v>183</v>
      </c>
      <c r="B38" s="33">
        <f>CORREL(F$4:F$32,P4:P32)</f>
        <v>0.45408940921483831</v>
      </c>
      <c r="C38" t="s">
        <v>194</v>
      </c>
    </row>
    <row r="39" spans="1:5" x14ac:dyDescent="0.35">
      <c r="A39" t="s">
        <v>23</v>
      </c>
      <c r="B39" s="33">
        <f>CORREL(F$4:F$32,Q4:Q32)</f>
        <v>-3.9727377969631578E-2</v>
      </c>
      <c r="C39" t="s">
        <v>198</v>
      </c>
    </row>
    <row r="40" spans="1:5" x14ac:dyDescent="0.35">
      <c r="A40" t="s">
        <v>193</v>
      </c>
      <c r="B40" s="33">
        <f>CORREL(F$4:F$32,R4:R32)</f>
        <v>0.26859762248526486</v>
      </c>
      <c r="C40" t="s">
        <v>196</v>
      </c>
    </row>
    <row r="41" spans="1:5" x14ac:dyDescent="0.35">
      <c r="A41" t="s">
        <v>182</v>
      </c>
      <c r="B41" s="33">
        <f>CORREL(F$4:F$32,S4:S32)</f>
        <v>-0.27636163288510346</v>
      </c>
      <c r="C41" t="s">
        <v>199</v>
      </c>
    </row>
    <row r="42" spans="1:5" x14ac:dyDescent="0.35">
      <c r="A42" t="s">
        <v>114</v>
      </c>
      <c r="B42" s="33">
        <f>CORREL(F$4:F$32,G4:G32)</f>
        <v>1.9185491413410891E-2</v>
      </c>
      <c r="C42" t="s">
        <v>197</v>
      </c>
    </row>
    <row r="43" spans="1:5" x14ac:dyDescent="0.35">
      <c r="B43" s="33"/>
    </row>
    <row r="44" spans="1:5" x14ac:dyDescent="0.35">
      <c r="B44" s="33"/>
    </row>
    <row r="45" spans="1:5" x14ac:dyDescent="0.35">
      <c r="A45" t="s">
        <v>207</v>
      </c>
      <c r="B45" s="33"/>
    </row>
    <row r="46" spans="1:5" x14ac:dyDescent="0.35">
      <c r="A46" s="32" t="s">
        <v>200</v>
      </c>
      <c r="B46" s="33"/>
    </row>
    <row r="47" spans="1:5" x14ac:dyDescent="0.35">
      <c r="A47" s="31"/>
      <c r="B47" s="33"/>
    </row>
    <row r="48" spans="1:5" x14ac:dyDescent="0.35">
      <c r="A48" s="32" t="s">
        <v>201</v>
      </c>
      <c r="B48" s="33"/>
    </row>
    <row r="49" spans="1:2" x14ac:dyDescent="0.35">
      <c r="A49" s="31"/>
      <c r="B49" s="33"/>
    </row>
    <row r="50" spans="1:2" x14ac:dyDescent="0.35">
      <c r="A50" s="32" t="s">
        <v>202</v>
      </c>
      <c r="B50" s="33"/>
    </row>
    <row r="51" spans="1:2" x14ac:dyDescent="0.35">
      <c r="A51" s="31"/>
      <c r="B51" s="33"/>
    </row>
    <row r="52" spans="1:2" x14ac:dyDescent="0.35">
      <c r="A52" s="32" t="s">
        <v>203</v>
      </c>
      <c r="B52" s="33"/>
    </row>
    <row r="53" spans="1:2" x14ac:dyDescent="0.35">
      <c r="A53" s="31"/>
      <c r="B53" s="33"/>
    </row>
    <row r="54" spans="1:2" x14ac:dyDescent="0.35">
      <c r="A54" s="32" t="s">
        <v>204</v>
      </c>
      <c r="B54" s="33"/>
    </row>
    <row r="55" spans="1:2" x14ac:dyDescent="0.35">
      <c r="A55" s="31"/>
      <c r="B55" s="33"/>
    </row>
    <row r="56" spans="1:2" x14ac:dyDescent="0.35">
      <c r="A56" s="32" t="s">
        <v>205</v>
      </c>
      <c r="B56" s="33"/>
    </row>
    <row r="57" spans="1:2" x14ac:dyDescent="0.35">
      <c r="A57" s="31"/>
      <c r="B57" s="33"/>
    </row>
    <row r="58" spans="1:2" x14ac:dyDescent="0.35">
      <c r="A58" s="32" t="s">
        <v>206</v>
      </c>
      <c r="B58" s="33"/>
    </row>
    <row r="59" spans="1:2" x14ac:dyDescent="0.35">
      <c r="B59" s="33"/>
    </row>
    <row r="60" spans="1:2" x14ac:dyDescent="0.35">
      <c r="B60" s="33"/>
    </row>
    <row r="61" spans="1:2" x14ac:dyDescent="0.35">
      <c r="B61" s="33"/>
    </row>
    <row r="62" spans="1:2" x14ac:dyDescent="0.35">
      <c r="B62" s="33"/>
    </row>
  </sheetData>
  <mergeCells count="2">
    <mergeCell ref="A1:G1"/>
    <mergeCell ref="A34:E3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DCB163-D0F0-490A-A196-0770DF13C0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Raw_Data</vt:lpstr>
      <vt:lpstr>Clean_Data</vt:lpstr>
      <vt:lpstr>CPI_Basket</vt:lpstr>
      <vt:lpstr>YOY_Inflation </vt:lpstr>
      <vt:lpstr>Food_Inflation</vt:lpstr>
      <vt:lpstr>COVID_Impact</vt:lpstr>
      <vt:lpstr>Oil_Correlation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Neesha Pramod</dc:creator>
  <cp:lastModifiedBy>Neesha Pramod</cp:lastModifiedBy>
  <dcterms:created xsi:type="dcterms:W3CDTF">2026-04-28T18:10:33Z</dcterms:created>
  <dcterms:modified xsi:type="dcterms:W3CDTF">2026-05-10T07:32:37Z</dcterms:modified>
</cp:coreProperties>
</file>